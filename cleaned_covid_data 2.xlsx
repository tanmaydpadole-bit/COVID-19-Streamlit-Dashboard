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SUS\Desktop\COVID-19-Streamlit-Dashboard\"/>
    </mc:Choice>
  </mc:AlternateContent>
  <xr:revisionPtr revIDLastSave="0" documentId="8_{062F8F78-6253-4C5A-B997-15D14C3ED59D}" xr6:coauthVersionLast="47" xr6:coauthVersionMax="47" xr10:uidLastSave="{00000000-0000-0000-0000-000000000000}"/>
  <bookViews>
    <workbookView xWindow="-108" yWindow="-108" windowWidth="23256" windowHeight="12456" activeTab="2" xr2:uid="{00000000-000D-0000-FFFF-FFFF00000000}"/>
  </bookViews>
  <sheets>
    <sheet name="dashboard (2)" sheetId="6" r:id="rId1"/>
    <sheet name="raw" sheetId="1" r:id="rId2"/>
    <sheet name="cleaned" sheetId="2" r:id="rId3"/>
    <sheet name="pivot table" sheetId="3" r:id="rId4"/>
    <sheet name="dashboard" sheetId="4" r:id="rId5"/>
    <sheet name="Sheet1" sheetId="5" r:id="rId6"/>
  </sheets>
  <definedNames>
    <definedName name="Slicer_State_UTs">#N/A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8" i="3" l="1"/>
  <c r="A27" i="3"/>
  <c r="A26" i="3"/>
  <c r="A25" i="3"/>
  <c r="A24" i="3"/>
</calcChain>
</file>

<file path=xl/sharedStrings.xml><?xml version="1.0" encoding="utf-8"?>
<sst xmlns="http://schemas.openxmlformats.org/spreadsheetml/2006/main" count="263" uniqueCount="64">
  <si>
    <t>State/UTs</t>
  </si>
  <si>
    <t>Total Vaccination Doses</t>
  </si>
  <si>
    <t>Dose1</t>
  </si>
  <si>
    <t>Dose 2</t>
  </si>
  <si>
    <t>Dose 1 15-18</t>
  </si>
  <si>
    <t>Dose 2 15-18</t>
  </si>
  <si>
    <t>Dose 1 12-14</t>
  </si>
  <si>
    <t>Dose 2 12-14</t>
  </si>
  <si>
    <t>Precaution 18-59</t>
  </si>
  <si>
    <t>Population</t>
  </si>
  <si>
    <t>Vaccination %</t>
  </si>
  <si>
    <t>Andaman And Nicobar</t>
  </si>
  <si>
    <t>Andhra Pradesh</t>
  </si>
  <si>
    <t>Arunachal Pradesh</t>
  </si>
  <si>
    <t>Assam</t>
  </si>
  <si>
    <t>Bihar</t>
  </si>
  <si>
    <t>Chandigarh</t>
  </si>
  <si>
    <t>Chhattisgarh</t>
  </si>
  <si>
    <t>Dadra And Nagar Haveli And Daman And Diu</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</si>
  <si>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</si>
  <si>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</si>
  <si>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</si>
  <si>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</si>
  <si>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</si>
  <si>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</si>
  <si>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</si>
  <si>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</si>
  <si>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</si>
  <si>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</si>
  <si>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</si>
  <si>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</si>
  <si>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</si>
  <si>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</si>
  <si>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</si>
  <si>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</si>
  <si>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</si>
  <si>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</si>
  <si>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</si>
  <si>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</si>
  <si>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</si>
  <si>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</si>
  <si>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</si>
  <si>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</si>
  <si>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</si>
  <si>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</si>
  <si>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</si>
  <si>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</si>
  <si>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Count of State/UTs</t>
  </si>
  <si>
    <t>Sum of Total Vaccination Doses</t>
  </si>
  <si>
    <t>Sum of Population</t>
  </si>
  <si>
    <t>Total polpulation count</t>
  </si>
  <si>
    <t>Sum of Dose1</t>
  </si>
  <si>
    <t>Sum of Dose 2</t>
  </si>
  <si>
    <t>Sum of Precaution 18-59</t>
  </si>
  <si>
    <t>Row Labels</t>
  </si>
  <si>
    <t>Grand Total</t>
  </si>
  <si>
    <t>Sum of Vaccination %</t>
  </si>
  <si>
    <t>Source: MoHFW India
Created by: Tanmay Padole</t>
  </si>
  <si>
    <t>• Uttar Pradesh recorded the highest vaccination doses.</t>
  </si>
  <si>
    <t>• Vaccination doses show a strong positive relationship with population.</t>
  </si>
  <si>
    <t>• Most states achieved vaccination coverage above 150%.</t>
  </si>
  <si>
    <t>• Precaution doses remain significantly lower than Dose 1 and Dose 2.</t>
  </si>
  <si>
    <r>
      <rPr>
        <b/>
        <sz val="24"/>
        <color theme="1"/>
        <rFont val="Tw Cen MT"/>
        <family val="2"/>
        <scheme val="minor"/>
      </rPr>
      <t xml:space="preserve">📌 </t>
    </r>
    <r>
      <rPr>
        <b/>
        <u/>
        <sz val="24"/>
        <color theme="1"/>
        <rFont val="Tw Cen MT"/>
        <family val="2"/>
        <scheme val="minor"/>
      </rPr>
      <t>Business Insights</t>
    </r>
  </si>
  <si>
    <t>Dose2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</si>
</sst>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24" x14ac:knownFonts="1">
    <font>
      <sz val="11"/>
      <color theme="1"/>
      <name val="Tw Cen MT"/>
      <family val="2"/>
      <scheme val="minor"/>
    </font>
    <font>
      <sz val="11"/>
      <color theme="1"/>
      <name val="Tw Cen MT"/>
      <family val="2"/>
      <scheme val="minor"/>
    </font>
    <font>
      <sz val="18"/>
      <color theme="3"/>
      <name val="Tw Cen MT"/>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sz val="8"/>
      <name val="Tw Cen MT"/>
      <family val="2"/>
      <scheme val="minor"/>
    </font>
    <font>
      <sz val="14"/>
      <color theme="1"/>
      <name val="Tw Cen MT"/>
      <family val="2"/>
      <scheme val="minor"/>
    </font>
    <font>
      <sz val="20"/>
      <color theme="1"/>
      <name val="Tw Cen MT"/>
      <family val="2"/>
      <scheme val="minor"/>
    </font>
    <font>
      <b/>
      <sz val="24"/>
      <color theme="1"/>
      <name val="Tw Cen MT"/>
      <family val="2"/>
      <scheme val="minor"/>
    </font>
    <font>
      <b/>
      <u/>
      <sz val="24"/>
      <color theme="1"/>
      <name val="Tw Cen MT"/>
      <family val="2"/>
      <scheme val="minor"/>
    </font>
    <font>
      <sz val="24"/>
      <color theme="1"/>
      <name val="Tw Cen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0" fontId="0" fillId="0" borderId="0" xfId="0" applyNumberFormat="1"/>
    <xf numFmtId="9" fontId="0" fillId="0" borderId="0" xfId="1" applyFont="1"/>
    <xf numFmtId="2" fontId="0" fillId="0" borderId="0" xfId="0" applyNumberFormat="1"/>
    <xf numFmtId="1" fontId="0" fillId="0" borderId="0" xfId="0" applyNumberFormat="1"/>
    <xf numFmtId="0" fontId="0" fillId="0" borderId="0" xfId="0" applyNumberFormat="1"/>
    <xf numFmtId="0" fontId="0" fillId="0" borderId="0" xfId="0" pivotButton="1"/>
    <xf numFmtId="164" fontId="0" fillId="0" borderId="0" xfId="0" applyNumberFormat="1"/>
    <xf numFmtId="0" fontId="0" fillId="0" borderId="0" xfId="0" applyAlignment="1">
      <alignment horizontal="left"/>
    </xf>
    <xf numFmtId="0" fontId="19" fillId="0" borderId="0" xfId="0" applyFont="1" applyAlignment="1">
      <alignment horizontal="center"/>
    </xf>
    <xf numFmtId="0" fontId="20" fillId="0" borderId="0" xfId="0" applyFont="1"/>
    <xf numFmtId="0" fontId="22" fillId="0" borderId="0" xfId="0" applyFont="1" applyAlignment="1">
      <alignment horizontal="center"/>
    </xf>
    <xf numFmtId="0" fontId="23" fillId="0" borderId="0" xfId="0" applyFont="1"/>
    <xf numFmtId="0" fontId="0" fillId="0" borderId="0" xfId="0"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1">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color theme="1"/>
      </font>
      <fill>
        <patternFill>
          <fgColor theme="2" tint="-0.499984740745262"/>
        </patternFill>
      </fill>
      <border>
        <bottom style="thin">
          <color theme="4"/>
        </bottom>
        <vertical/>
        <horizontal/>
      </border>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color theme="2" tint="-0.499984740745262"/>
      </font>
      <fill>
        <patternFill>
          <fgColor auto="1"/>
        </patternFill>
      </fill>
    </dxf>
    <dxf>
      <font>
        <color theme="2" tint="-0.499984740745262"/>
      </font>
    </dxf>
  </dxfs>
  <tableStyles count="3" defaultTableStyle="TableStyleMedium2" defaultPivotStyle="PivotStyleLight16">
    <tableStyle name="Slicer Style 1" pivot="0" table="0" count="6" xr9:uid="{2A7DC35F-2900-4E5B-88A7-9985E04DEA72}">
      <tableStyleElement type="wholeTable" dxfId="20"/>
      <tableStyleElement type="headerRow" dxfId="19"/>
    </tableStyle>
    <tableStyle name="SlicerStyleDark6 2" pivot="0" table="0" count="10" xr9:uid="{A14603AF-EA83-41DC-A14B-4D900A69302A}">
      <tableStyleElement type="wholeTable" dxfId="18"/>
      <tableStyleElement type="headerRow" dxfId="17"/>
    </tableStyle>
    <tableStyle name="SlicerStyleLight1 2" pivot="0" table="0" count="7" xr9:uid="{CB3C97F8-DE02-44D3-8A92-8B9D6251470E}">
      <tableStyleElement type="headerRow" dxfId="16"/>
    </tableStyle>
  </tableStyles>
  <extLst>
    <ext xmlns:x14="http://schemas.microsoft.com/office/spreadsheetml/2009/9/main" uri="{46F421CA-312F-682f-3DD2-61675219B42D}">
      <x14:dxfs count="1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2" tint="-0.499984740745262"/>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2" tint="-0.499984740745262"/>
          </font>
        </dxf>
        <dxf>
          <font>
            <color theme="0"/>
          </font>
        </dxf>
        <dxf>
          <font>
            <color theme="0"/>
          </font>
          <fill>
            <patternFill>
              <fgColor theme="7"/>
            </patternFill>
          </fill>
        </dxf>
        <dxf>
          <font>
            <color theme="2" tint="-0.499984740745262"/>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7"/>
            <x14:slicerStyleElement type="selectedItemWithData" dxfId="16"/>
            <x14:slicerStyleElement type="hoveredUnselectedItemWithData" dxfId="15"/>
            <x14:slicerStyleElement type="hoveredSelectedItemWithNoData" dxfId="14"/>
          </x14:slicerStyleElements>
        </x14:slicerStyle>
        <x14:slicerStyle name="SlicerStyleDark6 2">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UnselectedItemWithNoData" dxfId="7"/>
            <x14:slicerStyleElement type="hoveredSelectedItemWithNoData" dxfId="6"/>
          </x14:slicerStyleElements>
        </x14:slicerStyle>
        <x14:slicerStyle name="SlicerStyleLight1 2">
          <x14:slicerStyleElements>
            <x14:slicerStyleElement type="unselectedItemWithData" dxfId="5"/>
            <x14:slicerStyleElement type="unselectedItemWithNoData" dxfId="4"/>
            <x14:slicerStyleElement type="selectedItemWithData" dxfId="3"/>
            <x14:slicerStyleElement type="hoveredUn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[cleaned_covid_data 2.xlsx]pivot table!PivotTable7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Vaccination Doses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table'!$C$4:$C$40</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table'!$D$4:$D$40</c:f>
              <c:numCache>
                <c:formatCode>General</c:formatCode>
                <c:ptCount val="36"/>
                <c:pt idx="0">
                  <c:v>991264</c:v>
                </c:pt>
                <c:pt idx="1">
                  <c:v>110957430</c:v>
                </c:pt>
                <c:pt idx="2">
                  <c:v>1924584</c:v>
                </c:pt>
                <c:pt idx="3">
                  <c:v>50335778</c:v>
                </c:pt>
                <c:pt idx="4">
                  <c:v>157293015</c:v>
                </c:pt>
                <c:pt idx="5">
                  <c:v>2291937</c:v>
                </c:pt>
                <c:pt idx="6">
                  <c:v>49167939</c:v>
                </c:pt>
                <c:pt idx="7">
                  <c:v>1580060</c:v>
                </c:pt>
                <c:pt idx="8">
                  <c:v>37409355</c:v>
                </c:pt>
                <c:pt idx="9">
                  <c:v>2874477</c:v>
                </c:pt>
                <c:pt idx="10">
                  <c:v>128105565</c:v>
                </c:pt>
                <c:pt idx="11">
                  <c:v>45546800</c:v>
                </c:pt>
                <c:pt idx="12">
                  <c:v>15325484</c:v>
                </c:pt>
                <c:pt idx="13">
                  <c:v>24782265</c:v>
                </c:pt>
                <c:pt idx="14">
                  <c:v>43875944</c:v>
                </c:pt>
                <c:pt idx="15">
                  <c:v>122152396</c:v>
                </c:pt>
                <c:pt idx="16">
                  <c:v>57511593</c:v>
                </c:pt>
                <c:pt idx="17">
                  <c:v>567133</c:v>
                </c:pt>
                <c:pt idx="18">
                  <c:v>145313</c:v>
                </c:pt>
                <c:pt idx="19">
                  <c:v>133940196</c:v>
                </c:pt>
                <c:pt idx="20">
                  <c:v>177977996</c:v>
                </c:pt>
                <c:pt idx="21">
                  <c:v>3269105</c:v>
                </c:pt>
                <c:pt idx="22">
                  <c:v>2626010</c:v>
                </c:pt>
                <c:pt idx="23">
                  <c:v>1793298</c:v>
                </c:pt>
                <c:pt idx="24">
                  <c:v>1739837</c:v>
                </c:pt>
                <c:pt idx="25">
                  <c:v>81545960</c:v>
                </c:pt>
                <c:pt idx="26">
                  <c:v>2274059</c:v>
                </c:pt>
                <c:pt idx="27">
                  <c:v>47051166</c:v>
                </c:pt>
                <c:pt idx="28">
                  <c:v>115721511</c:v>
                </c:pt>
                <c:pt idx="29">
                  <c:v>1360477</c:v>
                </c:pt>
                <c:pt idx="30">
                  <c:v>127533904</c:v>
                </c:pt>
                <c:pt idx="31">
                  <c:v>77627542</c:v>
                </c:pt>
                <c:pt idx="32">
                  <c:v>5918997</c:v>
                </c:pt>
                <c:pt idx="33">
                  <c:v>392011174</c:v>
                </c:pt>
                <c:pt idx="34">
                  <c:v>20143654</c:v>
                </c:pt>
                <c:pt idx="35">
                  <c:v>156100370</c:v>
                </c:pt>
              </c:numCache>
            </c:numRef>
          </c:val>
          <c:extLst>
            <c:ext xmlns:c16="http://schemas.microsoft.com/office/drawing/2014/chart" uri="{C3380CC4-5D6E-409C-BE32-E72D297353CC}">
              <c16:uniqueId val="{00000000-5FF8-49ED-85B3-D8AF8E182F46}"/>
            </c:ext>
          </c:extLst>
        </c:ser>
        <c:dLbls>
          <c:showLegendKey val="0"/>
          <c:showVal val="0"/>
          <c:showCatName val="0"/>
          <c:showSerName val="0"/>
          <c:showPercent val="0"/>
          <c:showBubbleSize val="0"/>
        </c:dLbls>
        <c:gapWidth val="100"/>
        <c:overlap val="-24"/>
        <c:axId val="2063918655"/>
        <c:axId val="2063917407"/>
      </c:barChart>
      <c:catAx>
        <c:axId val="20639186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State/UTs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3917407"/>
        <c:crosses val="autoZero"/>
        <c:auto val="1"/>
        <c:lblAlgn val="ctr"/>
        <c:lblOffset val="100"/>
        <c:noMultiLvlLbl val="0"/>
      </c:catAx>
      <c:valAx>
        <c:axId val="206391740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391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[cleaned_covid_data 2.xlsx]pivot table!PivotTable9</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Vaccination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7312840295372"/>
          <c:y val="0.15850144715024592"/>
          <c:w val="0.58653572367918694"/>
          <c:h val="0.69566421804792522"/>
        </c:manualLayout>
      </c:layout>
      <c:barChart>
        <c:barDir val="bar"/>
        <c:grouping val="clustered"/>
        <c:varyColors val="0"/>
        <c:ser>
          <c:idx val="0"/>
          <c:order val="0"/>
          <c:tx>
            <c:strRef>
              <c:f>'pivot table'!$H$3</c:f>
              <c:strCache>
                <c:ptCount val="1"/>
                <c:pt idx="0">
                  <c:v>Total</c:v>
                </c:pt>
              </c:strCache>
            </c:strRef>
          </c:tx>
          <c:spPr>
            <a:solidFill>
              <a:srgbClr val="00B05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table'!$G$4:$G$40</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table'!$H$4:$H$40</c:f>
              <c:numCache>
                <c:formatCode>0</c:formatCode>
                <c:ptCount val="36"/>
                <c:pt idx="0">
                  <c:v>248.43647010000001</c:v>
                </c:pt>
                <c:pt idx="1">
                  <c:v>120.9971992</c:v>
                </c:pt>
                <c:pt idx="2">
                  <c:v>112.42077</c:v>
                </c:pt>
                <c:pt idx="3">
                  <c:v>139.82645289999999</c:v>
                </c:pt>
                <c:pt idx="4">
                  <c:v>122.40666880000001</c:v>
                </c:pt>
                <c:pt idx="5">
                  <c:v>197.91518429999999</c:v>
                </c:pt>
                <c:pt idx="6">
                  <c:v>152.69678099999999</c:v>
                </c:pt>
                <c:pt idx="7">
                  <c:v>204.14291009999999</c:v>
                </c:pt>
                <c:pt idx="8">
                  <c:v>193.81984840000001</c:v>
                </c:pt>
                <c:pt idx="9">
                  <c:v>188.86281930000001</c:v>
                </c:pt>
                <c:pt idx="10">
                  <c:v>181.96773659999999</c:v>
                </c:pt>
                <c:pt idx="11">
                  <c:v>157.59774680000001</c:v>
                </c:pt>
                <c:pt idx="12">
                  <c:v>204.25781119999999</c:v>
                </c:pt>
                <c:pt idx="13">
                  <c:v>165.22174190000001</c:v>
                </c:pt>
                <c:pt idx="14">
                  <c:v>109.4152933</c:v>
                </c:pt>
                <c:pt idx="15">
                  <c:v>175.50691620000001</c:v>
                </c:pt>
                <c:pt idx="16">
                  <c:v>165.74482990000001</c:v>
                </c:pt>
                <c:pt idx="17">
                  <c:v>195.23188250000001</c:v>
                </c:pt>
                <c:pt idx="18">
                  <c:v>220.16787619999999</c:v>
                </c:pt>
                <c:pt idx="19">
                  <c:v>157.57222060000001</c:v>
                </c:pt>
                <c:pt idx="20">
                  <c:v>142.4917495</c:v>
                </c:pt>
                <c:pt idx="21">
                  <c:v>95.116510349999999</c:v>
                </c:pt>
                <c:pt idx="22">
                  <c:v>69.616603789999999</c:v>
                </c:pt>
                <c:pt idx="23">
                  <c:v>137.0010092</c:v>
                </c:pt>
                <c:pt idx="24">
                  <c:v>83.925465279999997</c:v>
                </c:pt>
                <c:pt idx="25">
                  <c:v>173.13635650000001</c:v>
                </c:pt>
                <c:pt idx="26">
                  <c:v>138.15248629999999</c:v>
                </c:pt>
                <c:pt idx="27">
                  <c:v>154.26092879999999</c:v>
                </c:pt>
                <c:pt idx="28">
                  <c:v>145.55711389999999</c:v>
                </c:pt>
                <c:pt idx="29">
                  <c:v>206.75345239999999</c:v>
                </c:pt>
                <c:pt idx="30">
                  <c:v>152.37431530000001</c:v>
                </c:pt>
                <c:pt idx="31">
                  <c:v>203.4408085</c:v>
                </c:pt>
                <c:pt idx="32">
                  <c:v>141.4350057</c:v>
                </c:pt>
                <c:pt idx="33">
                  <c:v>169.33339459999999</c:v>
                </c:pt>
                <c:pt idx="34">
                  <c:v>172.1665261</c:v>
                </c:pt>
                <c:pt idx="35">
                  <c:v>154.7131837</c:v>
                </c:pt>
              </c:numCache>
            </c:numRef>
          </c:val>
          <c:extLst>
            <c:ext xmlns:c16="http://schemas.microsoft.com/office/drawing/2014/chart" uri="{C3380CC4-5D6E-409C-BE32-E72D297353CC}">
              <c16:uniqueId val="{00000000-7356-4F50-B14A-F95DD96107CF}"/>
            </c:ext>
          </c:extLst>
        </c:ser>
        <c:dLbls>
          <c:showLegendKey val="0"/>
          <c:showVal val="0"/>
          <c:showCatName val="0"/>
          <c:showSerName val="0"/>
          <c:showPercent val="0"/>
          <c:showBubbleSize val="0"/>
        </c:dLbls>
        <c:gapWidth val="115"/>
        <c:overlap val="-20"/>
        <c:axId val="2001978383"/>
        <c:axId val="2001981295"/>
      </c:barChart>
      <c:catAx>
        <c:axId val="200197838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800" b="1" i="0" cap="all" baseline="0">
                    <a:effectLst/>
                  </a:rPr>
                  <a:t>State/UTs</a:t>
                </a:r>
                <a:endParaRPr lang="en-IN">
                  <a:effectLst/>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1981295"/>
        <c:crosses val="autoZero"/>
        <c:auto val="1"/>
        <c:lblAlgn val="ctr"/>
        <c:lblOffset val="100"/>
        <c:noMultiLvlLbl val="0"/>
      </c:catAx>
      <c:valAx>
        <c:axId val="200198129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1978383"/>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[cleaned_covid_data 2.xlsx]pivot table!PivotTable8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Dose1 vs Dose2</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rgbClr val="FFC00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table'!$D$42</c:f>
              <c:strCache>
                <c:ptCount val="1"/>
                <c:pt idx="0">
                  <c:v>Sum of Dose1</c:v>
                </c:pt>
              </c:strCache>
            </c:strRef>
          </c:tx>
          <c:spPr>
            <a:solidFill>
              <a:srgbClr val="FFC00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table'!$C$43:$C$79</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table'!$D$43:$D$79</c:f>
              <c:numCache>
                <c:formatCode>General</c:formatCode>
                <c:ptCount val="36"/>
                <c:pt idx="0">
                  <c:v>313284</c:v>
                </c:pt>
                <c:pt idx="1">
                  <c:v>40645695</c:v>
                </c:pt>
                <c:pt idx="2">
                  <c:v>861396</c:v>
                </c:pt>
                <c:pt idx="3">
                  <c:v>22550941</c:v>
                </c:pt>
                <c:pt idx="4">
                  <c:v>62956601</c:v>
                </c:pt>
                <c:pt idx="5">
                  <c:v>1090035</c:v>
                </c:pt>
                <c:pt idx="6">
                  <c:v>18956734</c:v>
                </c:pt>
                <c:pt idx="7">
                  <c:v>730855</c:v>
                </c:pt>
                <c:pt idx="8">
                  <c:v>16605099</c:v>
                </c:pt>
                <c:pt idx="9">
                  <c:v>1355046</c:v>
                </c:pt>
                <c:pt idx="10">
                  <c:v>49324964</c:v>
                </c:pt>
                <c:pt idx="11">
                  <c:v>21963352</c:v>
                </c:pt>
                <c:pt idx="12">
                  <c:v>6042660</c:v>
                </c:pt>
                <c:pt idx="13">
                  <c:v>9942707</c:v>
                </c:pt>
                <c:pt idx="14">
                  <c:v>21310378</c:v>
                </c:pt>
                <c:pt idx="15">
                  <c:v>50032922</c:v>
                </c:pt>
                <c:pt idx="16">
                  <c:v>27017714</c:v>
                </c:pt>
                <c:pt idx="17">
                  <c:v>219604</c:v>
                </c:pt>
                <c:pt idx="18">
                  <c:v>56914</c:v>
                </c:pt>
                <c:pt idx="19">
                  <c:v>54143863</c:v>
                </c:pt>
                <c:pt idx="20">
                  <c:v>84665105</c:v>
                </c:pt>
                <c:pt idx="21">
                  <c:v>1464399</c:v>
                </c:pt>
                <c:pt idx="22">
                  <c:v>1332466</c:v>
                </c:pt>
                <c:pt idx="23">
                  <c:v>785860</c:v>
                </c:pt>
                <c:pt idx="24">
                  <c:v>837969</c:v>
                </c:pt>
                <c:pt idx="25">
                  <c:v>31454279</c:v>
                </c:pt>
                <c:pt idx="26">
                  <c:v>913046</c:v>
                </c:pt>
                <c:pt idx="27">
                  <c:v>22361633</c:v>
                </c:pt>
                <c:pt idx="28">
                  <c:v>51115413</c:v>
                </c:pt>
                <c:pt idx="29">
                  <c:v>539929</c:v>
                </c:pt>
                <c:pt idx="30">
                  <c:v>56671366</c:v>
                </c:pt>
                <c:pt idx="31">
                  <c:v>29616909</c:v>
                </c:pt>
                <c:pt idx="32">
                  <c:v>2659018</c:v>
                </c:pt>
                <c:pt idx="33">
                  <c:v>154096960</c:v>
                </c:pt>
                <c:pt idx="34">
                  <c:v>8183361</c:v>
                </c:pt>
                <c:pt idx="35">
                  <c:v>67305396</c:v>
                </c:pt>
              </c:numCache>
            </c:numRef>
          </c:val>
          <c:extLst>
            <c:ext xmlns:c16="http://schemas.microsoft.com/office/drawing/2014/chart" uri="{C3380CC4-5D6E-409C-BE32-E72D297353CC}">
              <c16:uniqueId val="{00000000-F6DB-4BA1-9E7C-340A7D95CB2F}"/>
            </c:ext>
          </c:extLst>
        </c:ser>
        <c:ser>
          <c:idx val="1"/>
          <c:order val="1"/>
          <c:tx>
            <c:strRef>
              <c:f>'pivot table'!$E$42</c:f>
              <c:strCache>
                <c:ptCount val="1"/>
                <c:pt idx="0">
                  <c:v>Sum of Dose 2</c:v>
                </c:pt>
              </c:strCache>
            </c:strRef>
          </c:tx>
          <c:spPr>
            <a:solidFill>
              <a:srgbClr val="00B05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table'!$C$43:$C$79</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table'!$E$43:$E$79</c:f>
              <c:numCache>
                <c:formatCode>General</c:formatCode>
                <c:ptCount val="36"/>
                <c:pt idx="0">
                  <c:v>320383</c:v>
                </c:pt>
                <c:pt idx="1">
                  <c:v>43555744</c:v>
                </c:pt>
                <c:pt idx="2">
                  <c:v>748505</c:v>
                </c:pt>
                <c:pt idx="3">
                  <c:v>20575569</c:v>
                </c:pt>
                <c:pt idx="4">
                  <c:v>59160917</c:v>
                </c:pt>
                <c:pt idx="5">
                  <c:v>921251</c:v>
                </c:pt>
                <c:pt idx="6">
                  <c:v>18537851</c:v>
                </c:pt>
                <c:pt idx="7">
                  <c:v>595090</c:v>
                </c:pt>
                <c:pt idx="8">
                  <c:v>14356077</c:v>
                </c:pt>
                <c:pt idx="9">
                  <c:v>1224544</c:v>
                </c:pt>
                <c:pt idx="10">
                  <c:v>49448078</c:v>
                </c:pt>
                <c:pt idx="11">
                  <c:v>18749584</c:v>
                </c:pt>
                <c:pt idx="12">
                  <c:v>5783693</c:v>
                </c:pt>
                <c:pt idx="13">
                  <c:v>10388596</c:v>
                </c:pt>
                <c:pt idx="14">
                  <c:v>16112704</c:v>
                </c:pt>
                <c:pt idx="15">
                  <c:v>50520795</c:v>
                </c:pt>
                <c:pt idx="16">
                  <c:v>23803189</c:v>
                </c:pt>
                <c:pt idx="17">
                  <c:v>187095</c:v>
                </c:pt>
                <c:pt idx="18">
                  <c:v>56019</c:v>
                </c:pt>
                <c:pt idx="19">
                  <c:v>54061656</c:v>
                </c:pt>
                <c:pt idx="20">
                  <c:v>71650189</c:v>
                </c:pt>
                <c:pt idx="21">
                  <c:v>1226336</c:v>
                </c:pt>
                <c:pt idx="22">
                  <c:v>1025463</c:v>
                </c:pt>
                <c:pt idx="23">
                  <c:v>669572</c:v>
                </c:pt>
                <c:pt idx="24">
                  <c:v>684747</c:v>
                </c:pt>
                <c:pt idx="25">
                  <c:v>29961065</c:v>
                </c:pt>
                <c:pt idx="26">
                  <c:v>802234</c:v>
                </c:pt>
                <c:pt idx="27">
                  <c:v>19621018</c:v>
                </c:pt>
                <c:pt idx="28">
                  <c:v>46586810</c:v>
                </c:pt>
                <c:pt idx="29">
                  <c:v>509134</c:v>
                </c:pt>
                <c:pt idx="30">
                  <c:v>53532301</c:v>
                </c:pt>
                <c:pt idx="31">
                  <c:v>29076857</c:v>
                </c:pt>
                <c:pt idx="32">
                  <c:v>2328968</c:v>
                </c:pt>
                <c:pt idx="33">
                  <c:v>147866674</c:v>
                </c:pt>
                <c:pt idx="34">
                  <c:v>7949246</c:v>
                </c:pt>
                <c:pt idx="35">
                  <c:v>61606895</c:v>
                </c:pt>
              </c:numCache>
            </c:numRef>
          </c:val>
          <c:extLst>
            <c:ext xmlns:c16="http://schemas.microsoft.com/office/drawing/2014/chart" uri="{C3380CC4-5D6E-409C-BE32-E72D297353CC}">
              <c16:uniqueId val="{00000001-F6DB-4BA1-9E7C-340A7D95CB2F}"/>
            </c:ext>
          </c:extLst>
        </c:ser>
        <c:dLbls>
          <c:showLegendKey val="0"/>
          <c:showVal val="0"/>
          <c:showCatName val="0"/>
          <c:showSerName val="0"/>
          <c:showPercent val="0"/>
          <c:showBubbleSize val="0"/>
        </c:dLbls>
        <c:gapWidth val="100"/>
        <c:overlap val="-24"/>
        <c:axId val="2003102719"/>
        <c:axId val="2003100223"/>
      </c:barChart>
      <c:catAx>
        <c:axId val="2003102719"/>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3100223"/>
        <c:crosses val="autoZero"/>
        <c:auto val="1"/>
        <c:lblAlgn val="ctr"/>
        <c:lblOffset val="100"/>
        <c:noMultiLvlLbl val="0"/>
      </c:catAx>
      <c:valAx>
        <c:axId val="2003100223"/>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310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[cleaned_covid_data 2.xlsx]pivot table!PivotTable10</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Population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35870516185478"/>
          <c:y val="0.20309966462525517"/>
          <c:w val="0.74384068708326823"/>
          <c:h val="0.49241254336130724"/>
        </c:manualLayout>
      </c:layout>
      <c:barChart>
        <c:barDir val="col"/>
        <c:grouping val="clustered"/>
        <c:varyColors val="0"/>
        <c:ser>
          <c:idx val="0"/>
          <c:order val="0"/>
          <c:tx>
            <c:strRef>
              <c:f>'pivot table'!$H$44</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table'!$G$45:$G$81</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table'!$H$45:$H$81</c:f>
              <c:numCache>
                <c:formatCode>General</c:formatCode>
                <c:ptCount val="36"/>
                <c:pt idx="0">
                  <c:v>399001</c:v>
                </c:pt>
                <c:pt idx="1">
                  <c:v>91702478</c:v>
                </c:pt>
                <c:pt idx="2">
                  <c:v>1711947</c:v>
                </c:pt>
                <c:pt idx="3">
                  <c:v>35998752</c:v>
                </c:pt>
                <c:pt idx="4">
                  <c:v>128500364</c:v>
                </c:pt>
                <c:pt idx="5">
                  <c:v>1158040</c:v>
                </c:pt>
                <c:pt idx="6">
                  <c:v>32199722</c:v>
                </c:pt>
                <c:pt idx="7">
                  <c:v>773997</c:v>
                </c:pt>
                <c:pt idx="8">
                  <c:v>19301096</c:v>
                </c:pt>
                <c:pt idx="9">
                  <c:v>1521992</c:v>
                </c:pt>
                <c:pt idx="10">
                  <c:v>70400153</c:v>
                </c:pt>
                <c:pt idx="11">
                  <c:v>28900667</c:v>
                </c:pt>
                <c:pt idx="12">
                  <c:v>7503010</c:v>
                </c:pt>
                <c:pt idx="13">
                  <c:v>14999397</c:v>
                </c:pt>
                <c:pt idx="14">
                  <c:v>40100376</c:v>
                </c:pt>
                <c:pt idx="15">
                  <c:v>69599762</c:v>
                </c:pt>
                <c:pt idx="16">
                  <c:v>34698876</c:v>
                </c:pt>
                <c:pt idx="17">
                  <c:v>290492</c:v>
                </c:pt>
                <c:pt idx="18">
                  <c:v>66001</c:v>
                </c:pt>
                <c:pt idx="19">
                  <c:v>85002417</c:v>
                </c:pt>
                <c:pt idx="20">
                  <c:v>124904071</c:v>
                </c:pt>
                <c:pt idx="21">
                  <c:v>3436948</c:v>
                </c:pt>
                <c:pt idx="22">
                  <c:v>3772103</c:v>
                </c:pt>
                <c:pt idx="23">
                  <c:v>1308967</c:v>
                </c:pt>
                <c:pt idx="24">
                  <c:v>2073074</c:v>
                </c:pt>
                <c:pt idx="25">
                  <c:v>47099270</c:v>
                </c:pt>
                <c:pt idx="26">
                  <c:v>1646050</c:v>
                </c:pt>
                <c:pt idx="27">
                  <c:v>30501026</c:v>
                </c:pt>
                <c:pt idx="28">
                  <c:v>79502477</c:v>
                </c:pt>
                <c:pt idx="29">
                  <c:v>658019</c:v>
                </c:pt>
                <c:pt idx="30">
                  <c:v>83697770</c:v>
                </c:pt>
                <c:pt idx="31">
                  <c:v>38157311</c:v>
                </c:pt>
                <c:pt idx="32">
                  <c:v>4184959</c:v>
                </c:pt>
                <c:pt idx="33">
                  <c:v>231502578</c:v>
                </c:pt>
                <c:pt idx="34">
                  <c:v>11700099</c:v>
                </c:pt>
                <c:pt idx="35">
                  <c:v>100896618</c:v>
                </c:pt>
              </c:numCache>
            </c:numRef>
          </c:val>
          <c:extLst>
            <c:ext xmlns:c16="http://schemas.microsoft.com/office/drawing/2014/chart" uri="{C3380CC4-5D6E-409C-BE32-E72D297353CC}">
              <c16:uniqueId val="{00000000-B2CC-4AC2-825A-4F319366574F}"/>
            </c:ext>
          </c:extLst>
        </c:ser>
        <c:dLbls>
          <c:showLegendKey val="0"/>
          <c:showVal val="0"/>
          <c:showCatName val="0"/>
          <c:showSerName val="0"/>
          <c:showPercent val="0"/>
          <c:showBubbleSize val="0"/>
        </c:dLbls>
        <c:gapWidth val="100"/>
        <c:overlap val="-24"/>
        <c:axId val="2062839279"/>
        <c:axId val="2062839695"/>
      </c:barChart>
      <c:catAx>
        <c:axId val="2062839279"/>
        <c:scaling>
          <c:orientation val="minMax"/>
        </c:scaling>
        <c:delete val="0"/>
        <c:axPos val="b"/>
        <c:title>
          <c:tx>
            <c:rich>
              <a:bodyPr rot="0" spcFirstLastPara="1" vertOverflow="ellipsis" vert="horz" wrap="square" anchor="ctr" anchorCtr="1"/>
              <a:lstStyle/>
              <a:p>
                <a:pPr algn="ctr" rtl="0">
                  <a:defRPr lang="en-IN" sz="900" b="1" i="0" u="none" strike="noStrike" kern="1200" cap="all" baseline="0">
                    <a:solidFill>
                      <a:sysClr val="window" lastClr="FFFFFF">
                        <a:lumMod val="85000"/>
                      </a:sysClr>
                    </a:solidFill>
                    <a:latin typeface="+mn-lt"/>
                    <a:ea typeface="+mn-ea"/>
                    <a:cs typeface="+mn-cs"/>
                  </a:defRPr>
                </a:pPr>
                <a:r>
                  <a:rPr lang="en-IN" sz="900" b="1" i="0" u="none" strike="noStrike" kern="1200" cap="all" baseline="0">
                    <a:solidFill>
                      <a:sysClr val="window" lastClr="FFFFFF">
                        <a:lumMod val="85000"/>
                      </a:sysClr>
                    </a:solidFill>
                    <a:latin typeface="+mn-lt"/>
                    <a:ea typeface="+mn-ea"/>
                    <a:cs typeface="+mn-cs"/>
                  </a:rPr>
                  <a:t>State/UTs</a:t>
                </a:r>
              </a:p>
            </c:rich>
          </c:tx>
          <c:layout>
            <c:manualLayout>
              <c:xMode val="edge"/>
              <c:yMode val="edge"/>
              <c:x val="0.46191723500013349"/>
              <c:y val="0.93953297404485525"/>
            </c:manualLayout>
          </c:layout>
          <c:overlay val="0"/>
          <c:spPr>
            <a:noFill/>
            <a:ln>
              <a:noFill/>
            </a:ln>
            <a:effectLst/>
          </c:spPr>
          <c:txPr>
            <a:bodyPr rot="0" spcFirstLastPara="1" vertOverflow="ellipsis" vert="horz" wrap="square" anchor="ctr" anchorCtr="1"/>
            <a:lstStyle/>
            <a:p>
              <a:pPr algn="ctr" rtl="0">
                <a:defRPr lang="en-IN" sz="900" b="1" i="0" u="none" strike="noStrike" kern="1200" cap="all" baseline="0">
                  <a:solidFill>
                    <a:sysClr val="window" lastClr="FFFFFF">
                      <a:lumMod val="85000"/>
                    </a:sys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2839695"/>
        <c:crosses val="autoZero"/>
        <c:auto val="1"/>
        <c:lblAlgn val="ctr"/>
        <c:lblOffset val="100"/>
        <c:noMultiLvlLbl val="0"/>
      </c:catAx>
      <c:valAx>
        <c:axId val="20628396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283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[cleaned_covid_data 2.xlsx]pivot table!PivotTable7</c:name>
    <c:fmtId val="4"/>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t>States by Total Vaccination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table'!$D$3</c:f>
              <c:strCache>
                <c:ptCount val="1"/>
                <c:pt idx="0">
                  <c:v>Total</c:v>
                </c:pt>
              </c:strCache>
            </c:strRef>
          </c:tx>
          <c:spPr>
            <a:solidFill>
              <a:schemeClr val="accent3"/>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table'!$C$4:$C$40</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table'!$D$4:$D$40</c:f>
              <c:numCache>
                <c:formatCode>General</c:formatCode>
                <c:ptCount val="36"/>
                <c:pt idx="0">
                  <c:v>991264</c:v>
                </c:pt>
                <c:pt idx="1">
                  <c:v>110957430</c:v>
                </c:pt>
                <c:pt idx="2">
                  <c:v>1924584</c:v>
                </c:pt>
                <c:pt idx="3">
                  <c:v>50335778</c:v>
                </c:pt>
                <c:pt idx="4">
                  <c:v>157293015</c:v>
                </c:pt>
                <c:pt idx="5">
                  <c:v>2291937</c:v>
                </c:pt>
                <c:pt idx="6">
                  <c:v>49167939</c:v>
                </c:pt>
                <c:pt idx="7">
                  <c:v>1580060</c:v>
                </c:pt>
                <c:pt idx="8">
                  <c:v>37409355</c:v>
                </c:pt>
                <c:pt idx="9">
                  <c:v>2874477</c:v>
                </c:pt>
                <c:pt idx="10">
                  <c:v>128105565</c:v>
                </c:pt>
                <c:pt idx="11">
                  <c:v>45546800</c:v>
                </c:pt>
                <c:pt idx="12">
                  <c:v>15325484</c:v>
                </c:pt>
                <c:pt idx="13">
                  <c:v>24782265</c:v>
                </c:pt>
                <c:pt idx="14">
                  <c:v>43875944</c:v>
                </c:pt>
                <c:pt idx="15">
                  <c:v>122152396</c:v>
                </c:pt>
                <c:pt idx="16">
                  <c:v>57511593</c:v>
                </c:pt>
                <c:pt idx="17">
                  <c:v>567133</c:v>
                </c:pt>
                <c:pt idx="18">
                  <c:v>145313</c:v>
                </c:pt>
                <c:pt idx="19">
                  <c:v>133940196</c:v>
                </c:pt>
                <c:pt idx="20">
                  <c:v>177977996</c:v>
                </c:pt>
                <c:pt idx="21">
                  <c:v>3269105</c:v>
                </c:pt>
                <c:pt idx="22">
                  <c:v>2626010</c:v>
                </c:pt>
                <c:pt idx="23">
                  <c:v>1793298</c:v>
                </c:pt>
                <c:pt idx="24">
                  <c:v>1739837</c:v>
                </c:pt>
                <c:pt idx="25">
                  <c:v>81545960</c:v>
                </c:pt>
                <c:pt idx="26">
                  <c:v>2274059</c:v>
                </c:pt>
                <c:pt idx="27">
                  <c:v>47051166</c:v>
                </c:pt>
                <c:pt idx="28">
                  <c:v>115721511</c:v>
                </c:pt>
                <c:pt idx="29">
                  <c:v>1360477</c:v>
                </c:pt>
                <c:pt idx="30">
                  <c:v>127533904</c:v>
                </c:pt>
                <c:pt idx="31">
                  <c:v>77627542</c:v>
                </c:pt>
                <c:pt idx="32">
                  <c:v>5918997</c:v>
                </c:pt>
                <c:pt idx="33">
                  <c:v>392011174</c:v>
                </c:pt>
                <c:pt idx="34">
                  <c:v>20143654</c:v>
                </c:pt>
                <c:pt idx="35">
                  <c:v>156100370</c:v>
                </c:pt>
              </c:numCache>
            </c:numRef>
          </c:val>
          <c:extLst>
            <c:ext xmlns:c16="http://schemas.microsoft.com/office/drawing/2014/chart" uri="{C3380CC4-5D6E-409C-BE32-E72D297353CC}">
              <c16:uniqueId val="{00000000-DDF9-43AC-907F-BC08AD71A9CA}"/>
            </c:ext>
          </c:extLst>
        </c:ser>
        <c:dLbls>
          <c:showLegendKey val="0"/>
          <c:showVal val="0"/>
          <c:showCatName val="0"/>
          <c:showSerName val="0"/>
          <c:showPercent val="0"/>
          <c:showBubbleSize val="0"/>
        </c:dLbls>
        <c:gapWidth val="100"/>
        <c:axId val="2063918655"/>
        <c:axId val="2063917407"/>
      </c:barChart>
      <c:catAx>
        <c:axId val="2063918655"/>
        <c:scaling>
          <c:orientation val="minMax"/>
        </c:scaling>
        <c:delete val="0"/>
        <c:axPos val="l"/>
        <c:title>
          <c:tx>
            <c:rich>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r>
                  <a:rPr lang="en-IN" sz="1000"/>
                  <a:t>State/UTs</a:t>
                </a:r>
              </a:p>
            </c:rich>
          </c:tx>
          <c:layout>
            <c:manualLayout>
              <c:xMode val="edge"/>
              <c:yMode val="edge"/>
              <c:x val="3.1245583451814142E-2"/>
              <c:y val="0.34248875745852014"/>
            </c:manualLayout>
          </c:layout>
          <c:overlay val="0"/>
          <c:spPr>
            <a:noFill/>
            <a:ln>
              <a:noFill/>
            </a:ln>
            <a:effectLst/>
          </c:spPr>
          <c:txPr>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3917407"/>
        <c:crosses val="autoZero"/>
        <c:auto val="1"/>
        <c:lblAlgn val="ctr"/>
        <c:lblOffset val="100"/>
        <c:noMultiLvlLbl val="0"/>
      </c:catAx>
      <c:valAx>
        <c:axId val="20639174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391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[cleaned_covid_data 2.xlsx]pivot table!PivotTable9</c:name>
    <c:fmtId val="6"/>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chemeClr val="bg1"/>
                </a:solidFill>
                <a:effectLst>
                  <a:outerShdw blurRad="50800" dist="38100" dir="5400000" algn="t" rotWithShape="0">
                    <a:prstClr val="black">
                      <a:alpha val="40000"/>
                    </a:prstClr>
                  </a:outerShdw>
                </a:effectLst>
              </a:rPr>
              <a:t>Vaccination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7312840295372"/>
          <c:y val="0.15850144715024592"/>
          <c:w val="0.60875154710006374"/>
          <c:h val="0.69566421804792522"/>
        </c:manualLayout>
      </c:layout>
      <c:barChart>
        <c:barDir val="bar"/>
        <c:grouping val="clustered"/>
        <c:varyColors val="0"/>
        <c:ser>
          <c:idx val="0"/>
          <c:order val="0"/>
          <c:tx>
            <c:strRef>
              <c:f>'pivot table'!$H$3</c:f>
              <c:strCache>
                <c:ptCount val="1"/>
                <c:pt idx="0">
                  <c:v>Total</c:v>
                </c:pt>
              </c:strCache>
            </c:strRef>
          </c:tx>
          <c:spPr>
            <a:solidFill>
              <a:schemeClr val="accent3"/>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table'!$G$4:$G$40</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table'!$H$4:$H$40</c:f>
              <c:numCache>
                <c:formatCode>0</c:formatCode>
                <c:ptCount val="36"/>
                <c:pt idx="0">
                  <c:v>248.43647010000001</c:v>
                </c:pt>
                <c:pt idx="1">
                  <c:v>120.9971992</c:v>
                </c:pt>
                <c:pt idx="2">
                  <c:v>112.42077</c:v>
                </c:pt>
                <c:pt idx="3">
                  <c:v>139.82645289999999</c:v>
                </c:pt>
                <c:pt idx="4">
                  <c:v>122.40666880000001</c:v>
                </c:pt>
                <c:pt idx="5">
                  <c:v>197.91518429999999</c:v>
                </c:pt>
                <c:pt idx="6">
                  <c:v>152.69678099999999</c:v>
                </c:pt>
                <c:pt idx="7">
                  <c:v>204.14291009999999</c:v>
                </c:pt>
                <c:pt idx="8">
                  <c:v>193.81984840000001</c:v>
                </c:pt>
                <c:pt idx="9">
                  <c:v>188.86281930000001</c:v>
                </c:pt>
                <c:pt idx="10">
                  <c:v>181.96773659999999</c:v>
                </c:pt>
                <c:pt idx="11">
                  <c:v>157.59774680000001</c:v>
                </c:pt>
                <c:pt idx="12">
                  <c:v>204.25781119999999</c:v>
                </c:pt>
                <c:pt idx="13">
                  <c:v>165.22174190000001</c:v>
                </c:pt>
                <c:pt idx="14">
                  <c:v>109.4152933</c:v>
                </c:pt>
                <c:pt idx="15">
                  <c:v>175.50691620000001</c:v>
                </c:pt>
                <c:pt idx="16">
                  <c:v>165.74482990000001</c:v>
                </c:pt>
                <c:pt idx="17">
                  <c:v>195.23188250000001</c:v>
                </c:pt>
                <c:pt idx="18">
                  <c:v>220.16787619999999</c:v>
                </c:pt>
                <c:pt idx="19">
                  <c:v>157.57222060000001</c:v>
                </c:pt>
                <c:pt idx="20">
                  <c:v>142.4917495</c:v>
                </c:pt>
                <c:pt idx="21">
                  <c:v>95.116510349999999</c:v>
                </c:pt>
                <c:pt idx="22">
                  <c:v>69.616603789999999</c:v>
                </c:pt>
                <c:pt idx="23">
                  <c:v>137.0010092</c:v>
                </c:pt>
                <c:pt idx="24">
                  <c:v>83.925465279999997</c:v>
                </c:pt>
                <c:pt idx="25">
                  <c:v>173.13635650000001</c:v>
                </c:pt>
                <c:pt idx="26">
                  <c:v>138.15248629999999</c:v>
                </c:pt>
                <c:pt idx="27">
                  <c:v>154.26092879999999</c:v>
                </c:pt>
                <c:pt idx="28">
                  <c:v>145.55711389999999</c:v>
                </c:pt>
                <c:pt idx="29">
                  <c:v>206.75345239999999</c:v>
                </c:pt>
                <c:pt idx="30">
                  <c:v>152.37431530000001</c:v>
                </c:pt>
                <c:pt idx="31">
                  <c:v>203.4408085</c:v>
                </c:pt>
                <c:pt idx="32">
                  <c:v>141.4350057</c:v>
                </c:pt>
                <c:pt idx="33">
                  <c:v>169.33339459999999</c:v>
                </c:pt>
                <c:pt idx="34">
                  <c:v>172.1665261</c:v>
                </c:pt>
                <c:pt idx="35">
                  <c:v>154.7131837</c:v>
                </c:pt>
              </c:numCache>
            </c:numRef>
          </c:val>
          <c:extLst>
            <c:ext xmlns:c16="http://schemas.microsoft.com/office/drawing/2014/chart" uri="{C3380CC4-5D6E-409C-BE32-E72D297353CC}">
              <c16:uniqueId val="{00000000-4615-489F-8A6D-7F7EEEE59413}"/>
            </c:ext>
          </c:extLst>
        </c:ser>
        <c:dLbls>
          <c:showLegendKey val="0"/>
          <c:showVal val="0"/>
          <c:showCatName val="0"/>
          <c:showSerName val="0"/>
          <c:showPercent val="0"/>
          <c:showBubbleSize val="0"/>
        </c:dLbls>
        <c:gapWidth val="115"/>
        <c:overlap val="-20"/>
        <c:axId val="2001978383"/>
        <c:axId val="2001981295"/>
      </c:barChart>
      <c:catAx>
        <c:axId val="2001978383"/>
        <c:scaling>
          <c:orientation val="minMax"/>
        </c:scaling>
        <c:delete val="0"/>
        <c:axPos val="l"/>
        <c:title>
          <c:tx>
            <c:rich>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r>
                  <a:rPr lang="en-IN" sz="1000" b="1" i="0" cap="all" baseline="0">
                    <a:solidFill>
                      <a:schemeClr val="bg1"/>
                    </a:solidFill>
                    <a:effectLst/>
                  </a:rPr>
                  <a:t>State/UTs</a:t>
                </a:r>
                <a:endParaRPr lang="en-IN" sz="1000">
                  <a:solidFill>
                    <a:schemeClr val="bg1"/>
                  </a:solidFill>
                  <a:effectLst/>
                </a:endParaRPr>
              </a:p>
            </c:rich>
          </c:tx>
          <c:layout>
            <c:manualLayout>
              <c:xMode val="edge"/>
              <c:yMode val="edge"/>
              <c:x val="5.4615487960856739E-2"/>
              <c:y val="0.42061909433126488"/>
            </c:manualLayout>
          </c:layout>
          <c:overlay val="0"/>
          <c:spPr>
            <a:noFill/>
            <a:ln>
              <a:noFill/>
            </a:ln>
            <a:effectLst/>
          </c:spPr>
          <c:txPr>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1981295"/>
        <c:crosses val="autoZero"/>
        <c:auto val="1"/>
        <c:lblAlgn val="ctr"/>
        <c:lblOffset val="100"/>
        <c:noMultiLvlLbl val="0"/>
      </c:catAx>
      <c:valAx>
        <c:axId val="200198129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197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a:solidFill>
        <a:schemeClr val="tx2">
          <a:lumMod val="20000"/>
          <a:lumOff val="8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[cleaned_covid_data 2.xlsx]pivot table!PivotTable8</c:name>
    <c:fmtId val="2"/>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chemeClr val="bg1"/>
                </a:solidFill>
                <a:effectLst>
                  <a:outerShdw blurRad="50800" dist="38100" dir="5400000" algn="t" rotWithShape="0">
                    <a:prstClr val="black">
                      <a:alpha val="40000"/>
                    </a:prstClr>
                  </a:outerShdw>
                </a:effectLst>
              </a:rPr>
              <a:t>States Dose1 vs Dose2</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rgbClr val="FFC00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table'!$D$42</c:f>
              <c:strCache>
                <c:ptCount val="1"/>
                <c:pt idx="0">
                  <c:v>Sum of Dose1</c:v>
                </c:pt>
              </c:strCache>
            </c:strRef>
          </c:tx>
          <c:spPr>
            <a:solidFill>
              <a:srgbClr val="FFC00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table'!$C$43:$C$79</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table'!$D$43:$D$79</c:f>
              <c:numCache>
                <c:formatCode>General</c:formatCode>
                <c:ptCount val="36"/>
                <c:pt idx="0">
                  <c:v>313284</c:v>
                </c:pt>
                <c:pt idx="1">
                  <c:v>40645695</c:v>
                </c:pt>
                <c:pt idx="2">
                  <c:v>861396</c:v>
                </c:pt>
                <c:pt idx="3">
                  <c:v>22550941</c:v>
                </c:pt>
                <c:pt idx="4">
                  <c:v>62956601</c:v>
                </c:pt>
                <c:pt idx="5">
                  <c:v>1090035</c:v>
                </c:pt>
                <c:pt idx="6">
                  <c:v>18956734</c:v>
                </c:pt>
                <c:pt idx="7">
                  <c:v>730855</c:v>
                </c:pt>
                <c:pt idx="8">
                  <c:v>16605099</c:v>
                </c:pt>
                <c:pt idx="9">
                  <c:v>1355046</c:v>
                </c:pt>
                <c:pt idx="10">
                  <c:v>49324964</c:v>
                </c:pt>
                <c:pt idx="11">
                  <c:v>21963352</c:v>
                </c:pt>
                <c:pt idx="12">
                  <c:v>6042660</c:v>
                </c:pt>
                <c:pt idx="13">
                  <c:v>9942707</c:v>
                </c:pt>
                <c:pt idx="14">
                  <c:v>21310378</c:v>
                </c:pt>
                <c:pt idx="15">
                  <c:v>50032922</c:v>
                </c:pt>
                <c:pt idx="16">
                  <c:v>27017714</c:v>
                </c:pt>
                <c:pt idx="17">
                  <c:v>219604</c:v>
                </c:pt>
                <c:pt idx="18">
                  <c:v>56914</c:v>
                </c:pt>
                <c:pt idx="19">
                  <c:v>54143863</c:v>
                </c:pt>
                <c:pt idx="20">
                  <c:v>84665105</c:v>
                </c:pt>
                <c:pt idx="21">
                  <c:v>1464399</c:v>
                </c:pt>
                <c:pt idx="22">
                  <c:v>1332466</c:v>
                </c:pt>
                <c:pt idx="23">
                  <c:v>785860</c:v>
                </c:pt>
                <c:pt idx="24">
                  <c:v>837969</c:v>
                </c:pt>
                <c:pt idx="25">
                  <c:v>31454279</c:v>
                </c:pt>
                <c:pt idx="26">
                  <c:v>913046</c:v>
                </c:pt>
                <c:pt idx="27">
                  <c:v>22361633</c:v>
                </c:pt>
                <c:pt idx="28">
                  <c:v>51115413</c:v>
                </c:pt>
                <c:pt idx="29">
                  <c:v>539929</c:v>
                </c:pt>
                <c:pt idx="30">
                  <c:v>56671366</c:v>
                </c:pt>
                <c:pt idx="31">
                  <c:v>29616909</c:v>
                </c:pt>
                <c:pt idx="32">
                  <c:v>2659018</c:v>
                </c:pt>
                <c:pt idx="33">
                  <c:v>154096960</c:v>
                </c:pt>
                <c:pt idx="34">
                  <c:v>8183361</c:v>
                </c:pt>
                <c:pt idx="35">
                  <c:v>67305396</c:v>
                </c:pt>
              </c:numCache>
            </c:numRef>
          </c:val>
          <c:extLst>
            <c:ext xmlns:c16="http://schemas.microsoft.com/office/drawing/2014/chart" uri="{C3380CC4-5D6E-409C-BE32-E72D297353CC}">
              <c16:uniqueId val="{00000000-76DA-4E64-8191-BC3F196C0C1D}"/>
            </c:ext>
          </c:extLst>
        </c:ser>
        <c:ser>
          <c:idx val="1"/>
          <c:order val="1"/>
          <c:tx>
            <c:strRef>
              <c:f>'pivot table'!$E$42</c:f>
              <c:strCache>
                <c:ptCount val="1"/>
                <c:pt idx="0">
                  <c:v>Sum of Dose 2</c:v>
                </c:pt>
              </c:strCache>
            </c:strRef>
          </c:tx>
          <c:spPr>
            <a:solidFill>
              <a:schemeClr val="accent3"/>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table'!$C$43:$C$79</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table'!$E$43:$E$79</c:f>
              <c:numCache>
                <c:formatCode>General</c:formatCode>
                <c:ptCount val="36"/>
                <c:pt idx="0">
                  <c:v>320383</c:v>
                </c:pt>
                <c:pt idx="1">
                  <c:v>43555744</c:v>
                </c:pt>
                <c:pt idx="2">
                  <c:v>748505</c:v>
                </c:pt>
                <c:pt idx="3">
                  <c:v>20575569</c:v>
                </c:pt>
                <c:pt idx="4">
                  <c:v>59160917</c:v>
                </c:pt>
                <c:pt idx="5">
                  <c:v>921251</c:v>
                </c:pt>
                <c:pt idx="6">
                  <c:v>18537851</c:v>
                </c:pt>
                <c:pt idx="7">
                  <c:v>595090</c:v>
                </c:pt>
                <c:pt idx="8">
                  <c:v>14356077</c:v>
                </c:pt>
                <c:pt idx="9">
                  <c:v>1224544</c:v>
                </c:pt>
                <c:pt idx="10">
                  <c:v>49448078</c:v>
                </c:pt>
                <c:pt idx="11">
                  <c:v>18749584</c:v>
                </c:pt>
                <c:pt idx="12">
                  <c:v>5783693</c:v>
                </c:pt>
                <c:pt idx="13">
                  <c:v>10388596</c:v>
                </c:pt>
                <c:pt idx="14">
                  <c:v>16112704</c:v>
                </c:pt>
                <c:pt idx="15">
                  <c:v>50520795</c:v>
                </c:pt>
                <c:pt idx="16">
                  <c:v>23803189</c:v>
                </c:pt>
                <c:pt idx="17">
                  <c:v>187095</c:v>
                </c:pt>
                <c:pt idx="18">
                  <c:v>56019</c:v>
                </c:pt>
                <c:pt idx="19">
                  <c:v>54061656</c:v>
                </c:pt>
                <c:pt idx="20">
                  <c:v>71650189</c:v>
                </c:pt>
                <c:pt idx="21">
                  <c:v>1226336</c:v>
                </c:pt>
                <c:pt idx="22">
                  <c:v>1025463</c:v>
                </c:pt>
                <c:pt idx="23">
                  <c:v>669572</c:v>
                </c:pt>
                <c:pt idx="24">
                  <c:v>684747</c:v>
                </c:pt>
                <c:pt idx="25">
                  <c:v>29961065</c:v>
                </c:pt>
                <c:pt idx="26">
                  <c:v>802234</c:v>
                </c:pt>
                <c:pt idx="27">
                  <c:v>19621018</c:v>
                </c:pt>
                <c:pt idx="28">
                  <c:v>46586810</c:v>
                </c:pt>
                <c:pt idx="29">
                  <c:v>509134</c:v>
                </c:pt>
                <c:pt idx="30">
                  <c:v>53532301</c:v>
                </c:pt>
                <c:pt idx="31">
                  <c:v>29076857</c:v>
                </c:pt>
                <c:pt idx="32">
                  <c:v>2328968</c:v>
                </c:pt>
                <c:pt idx="33">
                  <c:v>147866674</c:v>
                </c:pt>
                <c:pt idx="34">
                  <c:v>7949246</c:v>
                </c:pt>
                <c:pt idx="35">
                  <c:v>61606895</c:v>
                </c:pt>
              </c:numCache>
            </c:numRef>
          </c:val>
          <c:extLst>
            <c:ext xmlns:c16="http://schemas.microsoft.com/office/drawing/2014/chart" uri="{C3380CC4-5D6E-409C-BE32-E72D297353CC}">
              <c16:uniqueId val="{00000001-76DA-4E64-8191-BC3F196C0C1D}"/>
            </c:ext>
          </c:extLst>
        </c:ser>
        <c:dLbls>
          <c:showLegendKey val="0"/>
          <c:showVal val="0"/>
          <c:showCatName val="0"/>
          <c:showSerName val="0"/>
          <c:showPercent val="0"/>
          <c:showBubbleSize val="0"/>
        </c:dLbls>
        <c:gapWidth val="100"/>
        <c:axId val="2003102719"/>
        <c:axId val="2003100223"/>
      </c:barChart>
      <c:catAx>
        <c:axId val="2003102719"/>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1" i="0" u="none" strike="noStrike" kern="1200" cap="all" baseline="0">
                    <a:solidFill>
                      <a:sysClr val="window" lastClr="FFFFFF"/>
                    </a:solidFill>
                    <a:latin typeface="+mn-lt"/>
                    <a:ea typeface="+mn-ea"/>
                    <a:cs typeface="+mn-cs"/>
                  </a:defRPr>
                </a:pPr>
                <a:r>
                  <a:rPr lang="en-IN" sz="1050" b="1" i="0" cap="all" baseline="0">
                    <a:effectLst/>
                  </a:rPr>
                  <a:t>State/UTs</a:t>
                </a:r>
                <a:endParaRPr lang="en-IN" sz="105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050">
                    <a:solidFill>
                      <a:sysClr val="window" lastClr="FFFFFF"/>
                    </a:solidFill>
                  </a:defRPr>
                </a:pPr>
                <a:endParaRPr lang="en-IN" sz="1050">
                  <a:solidFill>
                    <a:schemeClr val="bg1"/>
                  </a:solidFill>
                </a:endParaRP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1" i="0" u="none" strike="noStrike" kern="1200" cap="all" baseline="0">
                  <a:solidFill>
                    <a:sysClr val="window" lastClr="FFFFFF"/>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2003100223"/>
        <c:crosses val="autoZero"/>
        <c:auto val="1"/>
        <c:lblAlgn val="ctr"/>
        <c:lblOffset val="100"/>
        <c:noMultiLvlLbl val="0"/>
      </c:catAx>
      <c:valAx>
        <c:axId val="20031002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310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[cleaned_covid_data 2.xlsx]pivot table!PivotTable10</c:name>
    <c:fmtId val="4"/>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t>Population</a:t>
            </a:r>
            <a:endParaRPr lang="en-US"/>
          </a:p>
        </c:rich>
      </c:tx>
      <c:layout>
        <c:manualLayout>
          <c:xMode val="edge"/>
          <c:yMode val="edge"/>
          <c:x val="0.42396206176688822"/>
          <c:y val="4.295289022739796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18478109832826"/>
          <c:y val="0.15023469292716013"/>
          <c:w val="0.72117147942961934"/>
          <c:h val="0.68074451329510322"/>
        </c:manualLayout>
      </c:layout>
      <c:barChart>
        <c:barDir val="bar"/>
        <c:grouping val="clustered"/>
        <c:varyColors val="0"/>
        <c:ser>
          <c:idx val="0"/>
          <c:order val="0"/>
          <c:tx>
            <c:strRef>
              <c:f>'pivot table'!$H$44</c:f>
              <c:strCache>
                <c:ptCount val="1"/>
                <c:pt idx="0">
                  <c:v>Total</c:v>
                </c:pt>
              </c:strCache>
            </c:strRef>
          </c:tx>
          <c:spPr>
            <a:solidFill>
              <a:schemeClr val="accent3"/>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table'!$G$45:$G$81</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table'!$H$45:$H$81</c:f>
              <c:numCache>
                <c:formatCode>General</c:formatCode>
                <c:ptCount val="36"/>
                <c:pt idx="0">
                  <c:v>399001</c:v>
                </c:pt>
                <c:pt idx="1">
                  <c:v>91702478</c:v>
                </c:pt>
                <c:pt idx="2">
                  <c:v>1711947</c:v>
                </c:pt>
                <c:pt idx="3">
                  <c:v>35998752</c:v>
                </c:pt>
                <c:pt idx="4">
                  <c:v>128500364</c:v>
                </c:pt>
                <c:pt idx="5">
                  <c:v>1158040</c:v>
                </c:pt>
                <c:pt idx="6">
                  <c:v>32199722</c:v>
                </c:pt>
                <c:pt idx="7">
                  <c:v>773997</c:v>
                </c:pt>
                <c:pt idx="8">
                  <c:v>19301096</c:v>
                </c:pt>
                <c:pt idx="9">
                  <c:v>1521992</c:v>
                </c:pt>
                <c:pt idx="10">
                  <c:v>70400153</c:v>
                </c:pt>
                <c:pt idx="11">
                  <c:v>28900667</c:v>
                </c:pt>
                <c:pt idx="12">
                  <c:v>7503010</c:v>
                </c:pt>
                <c:pt idx="13">
                  <c:v>14999397</c:v>
                </c:pt>
                <c:pt idx="14">
                  <c:v>40100376</c:v>
                </c:pt>
                <c:pt idx="15">
                  <c:v>69599762</c:v>
                </c:pt>
                <c:pt idx="16">
                  <c:v>34698876</c:v>
                </c:pt>
                <c:pt idx="17">
                  <c:v>290492</c:v>
                </c:pt>
                <c:pt idx="18">
                  <c:v>66001</c:v>
                </c:pt>
                <c:pt idx="19">
                  <c:v>85002417</c:v>
                </c:pt>
                <c:pt idx="20">
                  <c:v>124904071</c:v>
                </c:pt>
                <c:pt idx="21">
                  <c:v>3436948</c:v>
                </c:pt>
                <c:pt idx="22">
                  <c:v>3772103</c:v>
                </c:pt>
                <c:pt idx="23">
                  <c:v>1308967</c:v>
                </c:pt>
                <c:pt idx="24">
                  <c:v>2073074</c:v>
                </c:pt>
                <c:pt idx="25">
                  <c:v>47099270</c:v>
                </c:pt>
                <c:pt idx="26">
                  <c:v>1646050</c:v>
                </c:pt>
                <c:pt idx="27">
                  <c:v>30501026</c:v>
                </c:pt>
                <c:pt idx="28">
                  <c:v>79502477</c:v>
                </c:pt>
                <c:pt idx="29">
                  <c:v>658019</c:v>
                </c:pt>
                <c:pt idx="30">
                  <c:v>83697770</c:v>
                </c:pt>
                <c:pt idx="31">
                  <c:v>38157311</c:v>
                </c:pt>
                <c:pt idx="32">
                  <c:v>4184959</c:v>
                </c:pt>
                <c:pt idx="33">
                  <c:v>231502578</c:v>
                </c:pt>
                <c:pt idx="34">
                  <c:v>11700099</c:v>
                </c:pt>
                <c:pt idx="35">
                  <c:v>100896618</c:v>
                </c:pt>
              </c:numCache>
            </c:numRef>
          </c:val>
          <c:extLst>
            <c:ext xmlns:c16="http://schemas.microsoft.com/office/drawing/2014/chart" uri="{C3380CC4-5D6E-409C-BE32-E72D297353CC}">
              <c16:uniqueId val="{00000000-F66F-4F21-96B4-E357B33C9264}"/>
            </c:ext>
          </c:extLst>
        </c:ser>
        <c:dLbls>
          <c:showLegendKey val="0"/>
          <c:showVal val="0"/>
          <c:showCatName val="0"/>
          <c:showSerName val="0"/>
          <c:showPercent val="0"/>
          <c:showBubbleSize val="0"/>
        </c:dLbls>
        <c:gapWidth val="100"/>
        <c:axId val="2062839279"/>
        <c:axId val="2062839695"/>
      </c:barChart>
      <c:catAx>
        <c:axId val="2062839279"/>
        <c:scaling>
          <c:orientation val="minMax"/>
        </c:scaling>
        <c:delete val="0"/>
        <c:axPos val="l"/>
        <c:title>
          <c:tx>
            <c:rich>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r>
                  <a:rPr lang="en-IN" sz="1000" b="1" i="0" cap="all" baseline="0">
                    <a:effectLst/>
                  </a:rPr>
                  <a:t>State/UTs</a:t>
                </a:r>
                <a:endParaRPr lang="en-IN" sz="1000">
                  <a:effectLst/>
                </a:endParaRPr>
              </a:p>
            </c:rich>
          </c:tx>
          <c:overlay val="0"/>
          <c:spPr>
            <a:noFill/>
            <a:ln>
              <a:noFill/>
            </a:ln>
            <a:effectLst/>
          </c:spPr>
          <c:txPr>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2839695"/>
        <c:crosses val="autoZero"/>
        <c:auto val="1"/>
        <c:lblAlgn val="ctr"/>
        <c:lblOffset val="100"/>
        <c:noMultiLvlLbl val="0"/>
      </c:catAx>
      <c:valAx>
        <c:axId val="20628396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2839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627529</xdr:colOff>
      <xdr:row>1</xdr:row>
      <xdr:rowOff>116542</xdr:rowOff>
    </xdr:from>
    <xdr:to>
      <xdr:col>23</xdr:col>
      <xdr:colOff>243840</xdr:colOff>
      <xdr:row>56</xdr:row>
      <xdr:rowOff>95027</xdr:rowOff>
    </xdr:to>
    <xdr:sp macro="" textlink="">
      <xdr:nvSpPr>
        <xdr:cNvPr id="2" name="Rectangle 1">
          <a:extLst>
            <a:ext uri="{FF2B5EF4-FFF2-40B4-BE49-F238E27FC236}">
              <a16:creationId xmlns:a16="http://schemas.microsoft.com/office/drawing/2014/main" id="{B17B03D4-BBDD-484A-A5ED-B3A5C193F1AE}"/>
            </a:ext>
          </a:extLst>
        </xdr:cNvPr>
        <xdr:cNvSpPr/>
      </xdr:nvSpPr>
      <xdr:spPr>
        <a:xfrm>
          <a:off x="627529" y="291802"/>
          <a:ext cx="15039191" cy="9617785"/>
        </a:xfrm>
        <a:prstGeom prst="rect">
          <a:avLst/>
        </a:prstGeom>
        <a:solidFill>
          <a:srgbClr val="00B050">
            <a:alpha val="50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22860</xdr:colOff>
      <xdr:row>2</xdr:row>
      <xdr:rowOff>0</xdr:rowOff>
    </xdr:from>
    <xdr:to>
      <xdr:col>23</xdr:col>
      <xdr:colOff>242047</xdr:colOff>
      <xdr:row>9</xdr:row>
      <xdr:rowOff>28683</xdr:rowOff>
    </xdr:to>
    <xdr:sp macro="" textlink="">
      <xdr:nvSpPr>
        <xdr:cNvPr id="3" name="Oval 2">
          <a:extLst>
            <a:ext uri="{FF2B5EF4-FFF2-40B4-BE49-F238E27FC236}">
              <a16:creationId xmlns:a16="http://schemas.microsoft.com/office/drawing/2014/main" id="{20E682B0-7CB7-4261-9562-CA5B718D5E59}"/>
            </a:ext>
          </a:extLst>
        </xdr:cNvPr>
        <xdr:cNvSpPr/>
      </xdr:nvSpPr>
      <xdr:spPr>
        <a:xfrm>
          <a:off x="693420" y="350520"/>
          <a:ext cx="14971507" cy="1255503"/>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3600" b="1">
              <a:solidFill>
                <a:schemeClr val="bg1"/>
              </a:solidFill>
            </a:rPr>
            <a:t>│ COVID-19 INDIA VACCINATION DASHBOARD │</a:t>
          </a:r>
        </a:p>
      </xdr:txBody>
    </xdr:sp>
    <xdr:clientData/>
  </xdr:twoCellAnchor>
  <xdr:twoCellAnchor>
    <xdr:from>
      <xdr:col>4</xdr:col>
      <xdr:colOff>531374</xdr:colOff>
      <xdr:row>10</xdr:row>
      <xdr:rowOff>6276</xdr:rowOff>
    </xdr:from>
    <xdr:to>
      <xdr:col>7</xdr:col>
      <xdr:colOff>311428</xdr:colOff>
      <xdr:row>13</xdr:row>
      <xdr:rowOff>17930</xdr:rowOff>
    </xdr:to>
    <xdr:sp macro="" textlink="'pivot table'!A10">
      <xdr:nvSpPr>
        <xdr:cNvPr id="4" name="Rectangle: Rounded Corners 3">
          <a:extLst>
            <a:ext uri="{FF2B5EF4-FFF2-40B4-BE49-F238E27FC236}">
              <a16:creationId xmlns:a16="http://schemas.microsoft.com/office/drawing/2014/main" id="{7252DBD0-50A4-4637-8596-5FB7C6186A8F}"/>
            </a:ext>
          </a:extLst>
        </xdr:cNvPr>
        <xdr:cNvSpPr/>
      </xdr:nvSpPr>
      <xdr:spPr>
        <a:xfrm>
          <a:off x="3213614" y="1758876"/>
          <a:ext cx="1791734" cy="537434"/>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n-US" sz="1200" b="1" i="0" u="none" strike="noStrike">
              <a:solidFill>
                <a:srgbClr val="000000"/>
              </a:solidFill>
              <a:latin typeface="Tw Cen MT"/>
            </a:rPr>
            <a:t>TOTAL</a:t>
          </a:r>
          <a:r>
            <a:rPr lang="en-US" sz="1200" b="1" i="0" u="none" strike="noStrike" baseline="0">
              <a:solidFill>
                <a:srgbClr val="000000"/>
              </a:solidFill>
              <a:latin typeface="Tw Cen MT"/>
            </a:rPr>
            <a:t> POPULATION</a:t>
          </a:r>
          <a:fld id="{B0D296B9-D999-47A9-A955-ECCD2471F8C4}" type="TxLink">
            <a:rPr lang="en-US" sz="1200" b="1" i="0" u="none" strike="noStrike">
              <a:solidFill>
                <a:srgbClr val="000000"/>
              </a:solidFill>
              <a:latin typeface="Tw Cen MT"/>
            </a:rPr>
            <a:pPr algn="ctr"/>
            <a:t> 1,42,98,69,880 </a:t>
          </a:fld>
          <a:endParaRPr lang="en-IN" sz="1200" b="1"/>
        </a:p>
      </xdr:txBody>
    </xdr:sp>
    <xdr:clientData/>
  </xdr:twoCellAnchor>
  <xdr:twoCellAnchor>
    <xdr:from>
      <xdr:col>8</xdr:col>
      <xdr:colOff>302860</xdr:colOff>
      <xdr:row>10</xdr:row>
      <xdr:rowOff>12816</xdr:rowOff>
    </xdr:from>
    <xdr:to>
      <xdr:col>11</xdr:col>
      <xdr:colOff>145773</xdr:colOff>
      <xdr:row>13</xdr:row>
      <xdr:rowOff>31824</xdr:rowOff>
    </xdr:to>
    <xdr:sp macro="" textlink="'pivot table'!A13">
      <xdr:nvSpPr>
        <xdr:cNvPr id="5" name="Rectangle: Rounded Corners 4">
          <a:extLst>
            <a:ext uri="{FF2B5EF4-FFF2-40B4-BE49-F238E27FC236}">
              <a16:creationId xmlns:a16="http://schemas.microsoft.com/office/drawing/2014/main" id="{116D5E3C-2D8A-4C11-9408-A9A17B2F2276}"/>
            </a:ext>
          </a:extLst>
        </xdr:cNvPr>
        <xdr:cNvSpPr/>
      </xdr:nvSpPr>
      <xdr:spPr>
        <a:xfrm>
          <a:off x="5667340" y="1765416"/>
          <a:ext cx="1854593" cy="544788"/>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indent="0" algn="ctr"/>
          <a:r>
            <a:rPr lang="en-US" sz="1200" b="1" i="0" u="none" strike="noStrike">
              <a:solidFill>
                <a:srgbClr val="000000"/>
              </a:solidFill>
              <a:latin typeface="Tw Cen MT"/>
              <a:ea typeface="+mn-ea"/>
              <a:cs typeface="+mn-cs"/>
            </a:rPr>
            <a:t>TOTAL DOSE 1</a:t>
          </a:r>
        </a:p>
        <a:p>
          <a:pPr marL="0" indent="0" algn="ctr"/>
          <a:fld id="{04D84C66-F7B9-4C28-A612-FED0E35B777B}" type="TxLink">
            <a:rPr lang="en-US" sz="1200" b="1" i="0" u="none" strike="noStrike">
              <a:solidFill>
                <a:srgbClr val="000000"/>
              </a:solidFill>
              <a:latin typeface="Tw Cen MT"/>
              <a:ea typeface="+mn-ea"/>
              <a:cs typeface="+mn-cs"/>
            </a:rPr>
            <a:pPr marL="0" indent="0" algn="ctr"/>
            <a:t> 92,01,23,873 </a:t>
          </a:fld>
          <a:endParaRPr lang="en-IN" sz="1200" b="1" i="0" u="none" strike="noStrike">
            <a:solidFill>
              <a:srgbClr val="000000"/>
            </a:solidFill>
            <a:latin typeface="Tw Cen MT"/>
            <a:ea typeface="+mn-ea"/>
            <a:cs typeface="+mn-cs"/>
          </a:endParaRPr>
        </a:p>
      </xdr:txBody>
    </xdr:sp>
    <xdr:clientData/>
  </xdr:twoCellAnchor>
  <xdr:twoCellAnchor>
    <xdr:from>
      <xdr:col>12</xdr:col>
      <xdr:colOff>312732</xdr:colOff>
      <xdr:row>10</xdr:row>
      <xdr:rowOff>10711</xdr:rowOff>
    </xdr:from>
    <xdr:to>
      <xdr:col>15</xdr:col>
      <xdr:colOff>165651</xdr:colOff>
      <xdr:row>13</xdr:row>
      <xdr:rowOff>50163</xdr:rowOff>
    </xdr:to>
    <xdr:sp macro="" textlink="'pivot table'!A16">
      <xdr:nvSpPr>
        <xdr:cNvPr id="6" name="Rectangle: Rounded Corners 5">
          <a:extLst>
            <a:ext uri="{FF2B5EF4-FFF2-40B4-BE49-F238E27FC236}">
              <a16:creationId xmlns:a16="http://schemas.microsoft.com/office/drawing/2014/main" id="{4D65FD56-0F9B-446D-9D16-2354BB4C55DA}"/>
            </a:ext>
          </a:extLst>
        </xdr:cNvPr>
        <xdr:cNvSpPr/>
      </xdr:nvSpPr>
      <xdr:spPr>
        <a:xfrm>
          <a:off x="8359452" y="1763311"/>
          <a:ext cx="1864599" cy="565232"/>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indent="0" algn="ctr"/>
          <a:r>
            <a:rPr lang="en-US" sz="1200" b="1" i="0" u="none" strike="noStrike">
              <a:solidFill>
                <a:srgbClr val="000000"/>
              </a:solidFill>
              <a:latin typeface="Tw Cen MT"/>
              <a:ea typeface="+mn-ea"/>
              <a:cs typeface="+mn-cs"/>
            </a:rPr>
            <a:t>TOTAL DOSE 2</a:t>
          </a:r>
        </a:p>
        <a:p>
          <a:pPr marL="0" indent="0" algn="ctr"/>
          <a:fld id="{309236EF-9D2A-455C-911C-6BF8824780DD}" type="TxLink">
            <a:rPr lang="en-US" sz="1200" b="1" i="0" u="none" strike="noStrike">
              <a:solidFill>
                <a:srgbClr val="000000"/>
              </a:solidFill>
              <a:latin typeface="Tw Cen MT"/>
              <a:ea typeface="+mn-ea"/>
              <a:cs typeface="+mn-cs"/>
            </a:rPr>
            <a:pPr marL="0" indent="0" algn="ctr"/>
            <a:t> 86,42,04,849 </a:t>
          </a:fld>
          <a:endParaRPr lang="en-IN" sz="1200" b="1" i="0" u="none" strike="noStrike">
            <a:solidFill>
              <a:srgbClr val="000000"/>
            </a:solidFill>
            <a:latin typeface="Tw Cen MT"/>
            <a:ea typeface="+mn-ea"/>
            <a:cs typeface="+mn-cs"/>
          </a:endParaRPr>
        </a:p>
      </xdr:txBody>
    </xdr:sp>
    <xdr:clientData/>
  </xdr:twoCellAnchor>
  <xdr:twoCellAnchor>
    <xdr:from>
      <xdr:col>16</xdr:col>
      <xdr:colOff>268427</xdr:colOff>
      <xdr:row>10</xdr:row>
      <xdr:rowOff>3561</xdr:rowOff>
    </xdr:from>
    <xdr:to>
      <xdr:col>18</xdr:col>
      <xdr:colOff>642810</xdr:colOff>
      <xdr:row>12</xdr:row>
      <xdr:rowOff>171818</xdr:rowOff>
    </xdr:to>
    <xdr:sp macro="" textlink="'pivot table'!A19">
      <xdr:nvSpPr>
        <xdr:cNvPr id="7" name="Rectangle: Rounded Corners 6">
          <a:extLst>
            <a:ext uri="{FF2B5EF4-FFF2-40B4-BE49-F238E27FC236}">
              <a16:creationId xmlns:a16="http://schemas.microsoft.com/office/drawing/2014/main" id="{9DD3757C-A03C-4458-B0DB-7F3B990DD35B}"/>
            </a:ext>
          </a:extLst>
        </xdr:cNvPr>
        <xdr:cNvSpPr/>
      </xdr:nvSpPr>
      <xdr:spPr>
        <a:xfrm>
          <a:off x="10997387" y="1756161"/>
          <a:ext cx="1715503" cy="518777"/>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indent="0" algn="ctr"/>
          <a:r>
            <a:rPr lang="en-US" sz="1200" b="1" i="0" u="none" strike="noStrike">
              <a:solidFill>
                <a:srgbClr val="000000"/>
              </a:solidFill>
              <a:latin typeface="Tw Cen MT"/>
              <a:ea typeface="+mn-ea"/>
              <a:cs typeface="+mn-cs"/>
            </a:rPr>
            <a:t> Precaution 18-59</a:t>
          </a:r>
          <a:fld id="{6D6B9A91-9533-48AA-A004-E5EEB90B692E}" type="TxLink">
            <a:rPr lang="en-US" sz="1200" b="1" i="0" u="none" strike="noStrike">
              <a:solidFill>
                <a:srgbClr val="000000"/>
              </a:solidFill>
              <a:latin typeface="Tw Cen MT"/>
              <a:ea typeface="+mn-ea"/>
              <a:cs typeface="+mn-cs"/>
            </a:rPr>
            <a:pPr marL="0" indent="0" algn="ctr"/>
            <a:t> 15,85,78,250 </a:t>
          </a:fld>
          <a:endParaRPr lang="en-IN" sz="1200" b="1" i="0" u="none" strike="noStrike">
            <a:solidFill>
              <a:srgbClr val="000000"/>
            </a:solidFill>
            <a:latin typeface="Tw Cen MT"/>
            <a:ea typeface="+mn-ea"/>
            <a:cs typeface="+mn-cs"/>
          </a:endParaRPr>
        </a:p>
      </xdr:txBody>
    </xdr:sp>
    <xdr:clientData/>
  </xdr:twoCellAnchor>
  <xdr:twoCellAnchor>
    <xdr:from>
      <xdr:col>1</xdr:col>
      <xdr:colOff>16111</xdr:colOff>
      <xdr:row>10</xdr:row>
      <xdr:rowOff>1541</xdr:rowOff>
    </xdr:from>
    <xdr:to>
      <xdr:col>4</xdr:col>
      <xdr:colOff>26894</xdr:colOff>
      <xdr:row>12</xdr:row>
      <xdr:rowOff>160020</xdr:rowOff>
    </xdr:to>
    <xdr:sp macro="" textlink="">
      <xdr:nvSpPr>
        <xdr:cNvPr id="8" name="Rectangle: Rounded Corners 7">
          <a:extLst>
            <a:ext uri="{FF2B5EF4-FFF2-40B4-BE49-F238E27FC236}">
              <a16:creationId xmlns:a16="http://schemas.microsoft.com/office/drawing/2014/main" id="{B1066ED7-C455-4FAD-8D0D-44C3BD11F49D}"/>
            </a:ext>
          </a:extLst>
        </xdr:cNvPr>
        <xdr:cNvSpPr/>
      </xdr:nvSpPr>
      <xdr:spPr>
        <a:xfrm>
          <a:off x="686671" y="1754141"/>
          <a:ext cx="2022463" cy="508999"/>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indent="0" algn="ctr"/>
          <a:r>
            <a:rPr lang="en-US" sz="1200" b="1" i="0" u="none" strike="noStrike">
              <a:solidFill>
                <a:srgbClr val="000000"/>
              </a:solidFill>
              <a:latin typeface="Tw Cen MT"/>
              <a:ea typeface="+mn-ea"/>
              <a:cs typeface="+mn-cs"/>
            </a:rPr>
            <a:t>NO OF STATES</a:t>
          </a:r>
        </a:p>
        <a:p>
          <a:pPr marL="0" indent="0" algn="ctr"/>
          <a:r>
            <a:rPr lang="en-US" sz="1200" b="1" i="0" u="none" strike="noStrike">
              <a:solidFill>
                <a:srgbClr val="000000"/>
              </a:solidFill>
              <a:latin typeface="Tw Cen MT"/>
              <a:ea typeface="+mn-ea"/>
              <a:cs typeface="+mn-cs"/>
            </a:rPr>
            <a:t>36</a:t>
          </a:r>
        </a:p>
      </xdr:txBody>
    </xdr:sp>
    <xdr:clientData/>
  </xdr:twoCellAnchor>
  <xdr:twoCellAnchor>
    <xdr:from>
      <xdr:col>19</xdr:col>
      <xdr:colOff>643092</xdr:colOff>
      <xdr:row>9</xdr:row>
      <xdr:rowOff>129039</xdr:rowOff>
    </xdr:from>
    <xdr:to>
      <xdr:col>22</xdr:col>
      <xdr:colOff>656372</xdr:colOff>
      <xdr:row>12</xdr:row>
      <xdr:rowOff>141485</xdr:rowOff>
    </xdr:to>
    <xdr:sp macro="" textlink="'pivot table'!A7">
      <xdr:nvSpPr>
        <xdr:cNvPr id="9" name="Rectangle: Rounded Corners 8">
          <a:extLst>
            <a:ext uri="{FF2B5EF4-FFF2-40B4-BE49-F238E27FC236}">
              <a16:creationId xmlns:a16="http://schemas.microsoft.com/office/drawing/2014/main" id="{EE7949A5-28C5-441D-922E-4F547A6C8A78}"/>
            </a:ext>
          </a:extLst>
        </xdr:cNvPr>
        <xdr:cNvSpPr/>
      </xdr:nvSpPr>
      <xdr:spPr>
        <a:xfrm>
          <a:off x="13383732" y="1706379"/>
          <a:ext cx="2024960" cy="538226"/>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indent="0" algn="ctr"/>
          <a:r>
            <a:rPr lang="en-US" sz="1200" b="1" i="0" u="none" strike="noStrike">
              <a:solidFill>
                <a:srgbClr val="000000"/>
              </a:solidFill>
              <a:latin typeface="Tw Cen MT"/>
              <a:ea typeface="+mn-ea"/>
              <a:cs typeface="+mn-cs"/>
            </a:rPr>
            <a:t>Total Vaccination Doses</a:t>
          </a:r>
          <a:fld id="{69FE0FDE-EA39-48F0-838B-8E754EBE147F}" type="TxLink">
            <a:rPr lang="en-US" sz="1200" b="1" i="0" u="none" strike="noStrike">
              <a:solidFill>
                <a:srgbClr val="000000"/>
              </a:solidFill>
              <a:latin typeface="Tw Cen MT"/>
              <a:ea typeface="+mn-ea"/>
              <a:cs typeface="+mn-cs"/>
            </a:rPr>
            <a:pPr marL="0" indent="0" algn="ctr"/>
            <a:t> 2,20,14,73,588 </a:t>
          </a:fld>
          <a:endParaRPr lang="en-IN" sz="1200" b="1" i="0" u="none" strike="noStrike">
            <a:solidFill>
              <a:srgbClr val="000000"/>
            </a:solidFill>
            <a:latin typeface="Tw Cen MT"/>
            <a:ea typeface="+mn-ea"/>
            <a:cs typeface="+mn-cs"/>
          </a:endParaRPr>
        </a:p>
      </xdr:txBody>
    </xdr:sp>
    <xdr:clientData/>
  </xdr:twoCellAnchor>
  <xdr:twoCellAnchor>
    <xdr:from>
      <xdr:col>1</xdr:col>
      <xdr:colOff>90290</xdr:colOff>
      <xdr:row>15</xdr:row>
      <xdr:rowOff>8964</xdr:rowOff>
    </xdr:from>
    <xdr:to>
      <xdr:col>10</xdr:col>
      <xdr:colOff>146249</xdr:colOff>
      <xdr:row>33</xdr:row>
      <xdr:rowOff>163286</xdr:rowOff>
    </xdr:to>
    <xdr:graphicFrame macro="">
      <xdr:nvGraphicFramePr>
        <xdr:cNvPr id="10" name="Chart 9">
          <a:extLst>
            <a:ext uri="{FF2B5EF4-FFF2-40B4-BE49-F238E27FC236}">
              <a16:creationId xmlns:a16="http://schemas.microsoft.com/office/drawing/2014/main" id="{DE46AAA8-2F50-4883-B366-FD57507C6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209549</xdr:colOff>
      <xdr:row>34</xdr:row>
      <xdr:rowOff>54429</xdr:rowOff>
    </xdr:from>
    <xdr:to>
      <xdr:col>23</xdr:col>
      <xdr:colOff>65314</xdr:colOff>
      <xdr:row>56</xdr:row>
      <xdr:rowOff>19539</xdr:rowOff>
    </xdr:to>
    <xdr:graphicFrame macro="">
      <xdr:nvGraphicFramePr>
        <xdr:cNvPr id="11" name="Chart 10">
          <a:extLst>
            <a:ext uri="{FF2B5EF4-FFF2-40B4-BE49-F238E27FC236}">
              <a16:creationId xmlns:a16="http://schemas.microsoft.com/office/drawing/2014/main" id="{E26AAFCB-390B-4B31-870B-095D52A45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228600</xdr:colOff>
      <xdr:row>15</xdr:row>
      <xdr:rowOff>7043</xdr:rowOff>
    </xdr:from>
    <xdr:to>
      <xdr:col>23</xdr:col>
      <xdr:colOff>41564</xdr:colOff>
      <xdr:row>33</xdr:row>
      <xdr:rowOff>138544</xdr:rowOff>
    </xdr:to>
    <xdr:graphicFrame macro="">
      <xdr:nvGraphicFramePr>
        <xdr:cNvPr id="12" name="Chart 11">
          <a:extLst>
            <a:ext uri="{FF2B5EF4-FFF2-40B4-BE49-F238E27FC236}">
              <a16:creationId xmlns:a16="http://schemas.microsoft.com/office/drawing/2014/main" id="{6A7756D2-8E0C-482B-9F08-8BCF383BA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86057</xdr:colOff>
      <xdr:row>34</xdr:row>
      <xdr:rowOff>74586</xdr:rowOff>
    </xdr:from>
    <xdr:to>
      <xdr:col>10</xdr:col>
      <xdr:colOff>99252</xdr:colOff>
      <xdr:row>56</xdr:row>
      <xdr:rowOff>63701</xdr:rowOff>
    </xdr:to>
    <xdr:graphicFrame macro="">
      <xdr:nvGraphicFramePr>
        <xdr:cNvPr id="13" name="Chart 12">
          <a:extLst>
            <a:ext uri="{FF2B5EF4-FFF2-40B4-BE49-F238E27FC236}">
              <a16:creationId xmlns:a16="http://schemas.microsoft.com/office/drawing/2014/main" id="{99F3900D-98D7-4766-A470-3134EDA13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258417</xdr:colOff>
      <xdr:row>14</xdr:row>
      <xdr:rowOff>172278</xdr:rowOff>
    </xdr:from>
    <xdr:to>
      <xdr:col>14</xdr:col>
      <xdr:colOff>81177</xdr:colOff>
      <xdr:row>56</xdr:row>
      <xdr:rowOff>119744</xdr:rowOff>
    </xdr:to>
    <mc:AlternateContent xmlns:mc="http://schemas.openxmlformats.org/markup-compatibility/2006" xmlns:a14="http://schemas.microsoft.com/office/drawing/2010/main">
      <mc:Choice Requires="a14">
        <xdr:graphicFrame macro="">
          <xdr:nvGraphicFramePr>
            <xdr:cNvPr id="14" name="State/UTs 1">
              <a:extLst>
                <a:ext uri="{FF2B5EF4-FFF2-40B4-BE49-F238E27FC236}">
                  <a16:creationId xmlns:a16="http://schemas.microsoft.com/office/drawing/2014/main" id="{5423F69C-3E75-4233-8523-FF2800C03642}"/>
                </a:ext>
              </a:extLst>
            </xdr:cNvPr>
            <xdr:cNvGraphicFramePr/>
          </xdr:nvGraphicFramePr>
          <xdr:xfrm>
            <a:off x="0" y="0"/>
            <a:ext cx="0" cy="0"/>
          </xdr:xfrm>
          <a:graphic>
            <a:graphicData uri="http://schemas.microsoft.com/office/drawing/2010/slicer">
              <sle:slicer xmlns:sle="http://schemas.microsoft.com/office/drawing/2010/slicer" name="State/UTs 1"/>
            </a:graphicData>
          </a:graphic>
        </xdr:graphicFrame>
      </mc:Choice>
      <mc:Fallback xmlns="">
        <xdr:sp macro="" textlink="">
          <xdr:nvSpPr>
            <xdr:cNvPr id="0" name=""/>
            <xdr:cNvSpPr>
              <a:spLocks noTextEdit="1"/>
            </xdr:cNvSpPr>
          </xdr:nvSpPr>
          <xdr:spPr>
            <a:xfrm>
              <a:off x="6925917" y="2572578"/>
              <a:ext cx="2489760" cy="7148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26276</xdr:colOff>
      <xdr:row>54</xdr:row>
      <xdr:rowOff>53686</xdr:rowOff>
    </xdr:from>
    <xdr:to>
      <xdr:col>23</xdr:col>
      <xdr:colOff>5255</xdr:colOff>
      <xdr:row>62</xdr:row>
      <xdr:rowOff>32904</xdr:rowOff>
    </xdr:to>
    <xdr:sp macro="" textlink="">
      <xdr:nvSpPr>
        <xdr:cNvPr id="19" name="Rectangle 18">
          <a:extLst>
            <a:ext uri="{FF2B5EF4-FFF2-40B4-BE49-F238E27FC236}">
              <a16:creationId xmlns:a16="http://schemas.microsoft.com/office/drawing/2014/main" id="{0503572E-86A1-4535-A207-563CA645BB3C}"/>
            </a:ext>
          </a:extLst>
        </xdr:cNvPr>
        <xdr:cNvSpPr/>
      </xdr:nvSpPr>
      <xdr:spPr>
        <a:xfrm>
          <a:off x="698938" y="9418403"/>
          <a:ext cx="14777545" cy="1366584"/>
        </a:xfrm>
        <a:prstGeom prst="rect">
          <a:avLst/>
        </a:prstGeom>
        <a:solidFill>
          <a:schemeClr val="bg2">
            <a:lumMod val="5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endParaRPr lang="en-IN" sz="3600" b="1">
            <a:solidFill>
              <a:schemeClr val="bg1"/>
            </a:solidFill>
          </a:endParaRPr>
        </a:p>
      </xdr:txBody>
    </xdr:sp>
    <xdr:clientData/>
  </xdr:twoCellAnchor>
  <xdr:twoCellAnchor>
    <xdr:from>
      <xdr:col>5</xdr:col>
      <xdr:colOff>50849</xdr:colOff>
      <xdr:row>6</xdr:row>
      <xdr:rowOff>13328</xdr:rowOff>
    </xdr:from>
    <xdr:to>
      <xdr:col>8</xdr:col>
      <xdr:colOff>376517</xdr:colOff>
      <xdr:row>11</xdr:row>
      <xdr:rowOff>20052</xdr:rowOff>
    </xdr:to>
    <xdr:sp macro="" textlink="'pivot table'!A25">
      <xdr:nvSpPr>
        <xdr:cNvPr id="4" name="Rectangle: Rounded Corners 3">
          <a:extLst>
            <a:ext uri="{FF2B5EF4-FFF2-40B4-BE49-F238E27FC236}">
              <a16:creationId xmlns:a16="http://schemas.microsoft.com/office/drawing/2014/main" id="{96CC289A-33D2-4B9F-99EB-B3319A7BD504}"/>
            </a:ext>
          </a:extLst>
        </xdr:cNvPr>
        <xdr:cNvSpPr/>
      </xdr:nvSpPr>
      <xdr:spPr>
        <a:xfrm>
          <a:off x="3412614" y="1089093"/>
          <a:ext cx="2342727" cy="903194"/>
        </a:xfrm>
        <a:prstGeom prst="roundRect">
          <a:avLst/>
        </a:prstGeom>
        <a:solidFill>
          <a:schemeClr val="tx2"/>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US" sz="1600" b="1" i="0" u="none" strike="noStrike">
              <a:solidFill>
                <a:schemeClr val="bg1"/>
              </a:solidFill>
              <a:latin typeface="Tw Cen MT"/>
              <a:ea typeface="+mn-ea"/>
              <a:cs typeface="+mn-cs"/>
            </a:rPr>
            <a:t>TOTAL POPULATION</a:t>
          </a:r>
        </a:p>
        <a:p>
          <a:pPr marL="0" indent="0" algn="ctr"/>
          <a:fld id="{C0CBCCC9-B046-4E74-ABAA-0711D6384650}" type="TxLink">
            <a:rPr lang="en-US" sz="1600" b="1" i="0" u="none" strike="noStrike">
              <a:solidFill>
                <a:schemeClr val="bg1"/>
              </a:solidFill>
              <a:latin typeface="Tw Cen MT"/>
              <a:ea typeface="+mn-ea"/>
              <a:cs typeface="+mn-cs"/>
            </a:rPr>
            <a:pPr marL="0" indent="0" algn="ctr"/>
            <a:t>143 Cr</a:t>
          </a:fld>
          <a:endParaRPr lang="en-IN" sz="1600" b="1" i="0" u="none" strike="noStrike">
            <a:solidFill>
              <a:schemeClr val="bg1"/>
            </a:solidFill>
            <a:latin typeface="Tw Cen MT"/>
            <a:ea typeface="+mn-ea"/>
            <a:cs typeface="+mn-cs"/>
          </a:endParaRPr>
        </a:p>
      </xdr:txBody>
    </xdr:sp>
    <xdr:clientData/>
  </xdr:twoCellAnchor>
  <xdr:twoCellAnchor>
    <xdr:from>
      <xdr:col>8</xdr:col>
      <xdr:colOff>456946</xdr:colOff>
      <xdr:row>6</xdr:row>
      <xdr:rowOff>4355</xdr:rowOff>
    </xdr:from>
    <xdr:to>
      <xdr:col>11</xdr:col>
      <xdr:colOff>609600</xdr:colOff>
      <xdr:row>10</xdr:row>
      <xdr:rowOff>172550</xdr:rowOff>
    </xdr:to>
    <xdr:sp macro="" textlink="'pivot table'!A26">
      <xdr:nvSpPr>
        <xdr:cNvPr id="5" name="Rectangle: Rounded Corners 4">
          <a:extLst>
            <a:ext uri="{FF2B5EF4-FFF2-40B4-BE49-F238E27FC236}">
              <a16:creationId xmlns:a16="http://schemas.microsoft.com/office/drawing/2014/main" id="{53E2759F-0302-4688-B056-845072BA4B80}"/>
            </a:ext>
          </a:extLst>
        </xdr:cNvPr>
        <xdr:cNvSpPr/>
      </xdr:nvSpPr>
      <xdr:spPr>
        <a:xfrm>
          <a:off x="5835770" y="1080120"/>
          <a:ext cx="2169712" cy="885371"/>
        </a:xfrm>
        <a:prstGeom prst="roundRect">
          <a:avLst/>
        </a:prstGeom>
        <a:solidFill>
          <a:schemeClr val="tx2"/>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US" sz="1600" b="1" i="0" u="none" strike="noStrike">
              <a:solidFill>
                <a:schemeClr val="bg1"/>
              </a:solidFill>
              <a:latin typeface="Tw Cen MT"/>
              <a:ea typeface="+mn-ea"/>
              <a:cs typeface="+mn-cs"/>
            </a:rPr>
            <a:t>TOTAL </a:t>
          </a:r>
          <a:r>
            <a:rPr lang="en-US" sz="1600" b="1" i="0" u="none" strike="noStrike" baseline="0">
              <a:solidFill>
                <a:schemeClr val="bg1"/>
              </a:solidFill>
              <a:latin typeface="Tw Cen MT"/>
              <a:ea typeface="+mn-ea"/>
              <a:cs typeface="+mn-cs"/>
            </a:rPr>
            <a:t>DOSE 1</a:t>
          </a:r>
        </a:p>
        <a:p>
          <a:pPr marL="0" indent="0" algn="ctr"/>
          <a:fld id="{23EAC19C-A029-40E7-8F9F-93CB535E4586}" type="TxLink">
            <a:rPr lang="en-US" sz="1600" b="1" i="0" u="none" strike="noStrike">
              <a:solidFill>
                <a:schemeClr val="bg1"/>
              </a:solidFill>
              <a:latin typeface="Tw Cen MT"/>
              <a:ea typeface="+mn-ea"/>
              <a:cs typeface="+mn-cs"/>
            </a:rPr>
            <a:pPr marL="0" indent="0" algn="ctr"/>
            <a:t>92 Cr</a:t>
          </a:fld>
          <a:endParaRPr lang="en-IN" sz="1600" b="1" i="0" u="none" strike="noStrike">
            <a:solidFill>
              <a:schemeClr val="bg1"/>
            </a:solidFill>
            <a:latin typeface="Tw Cen MT"/>
            <a:ea typeface="+mn-ea"/>
            <a:cs typeface="+mn-cs"/>
          </a:endParaRPr>
        </a:p>
      </xdr:txBody>
    </xdr:sp>
    <xdr:clientData/>
  </xdr:twoCellAnchor>
  <xdr:twoCellAnchor>
    <xdr:from>
      <xdr:col>12</xdr:col>
      <xdr:colOff>57684</xdr:colOff>
      <xdr:row>6</xdr:row>
      <xdr:rowOff>1745</xdr:rowOff>
    </xdr:from>
    <xdr:to>
      <xdr:col>15</xdr:col>
      <xdr:colOff>376518</xdr:colOff>
      <xdr:row>11</xdr:row>
      <xdr:rowOff>0</xdr:rowOff>
    </xdr:to>
    <xdr:sp macro="" textlink="'pivot table'!A27">
      <xdr:nvSpPr>
        <xdr:cNvPr id="6" name="Rectangle: Rounded Corners 5">
          <a:extLst>
            <a:ext uri="{FF2B5EF4-FFF2-40B4-BE49-F238E27FC236}">
              <a16:creationId xmlns:a16="http://schemas.microsoft.com/office/drawing/2014/main" id="{7439A10D-5D44-4783-B927-E00B20FDC5E3}"/>
            </a:ext>
          </a:extLst>
        </xdr:cNvPr>
        <xdr:cNvSpPr/>
      </xdr:nvSpPr>
      <xdr:spPr>
        <a:xfrm>
          <a:off x="8125919" y="1077510"/>
          <a:ext cx="2335893" cy="894725"/>
        </a:xfrm>
        <a:prstGeom prst="roundRect">
          <a:avLst/>
        </a:prstGeom>
        <a:solidFill>
          <a:schemeClr val="tx2"/>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US" sz="1600" b="1" i="0" u="none" strike="noStrike">
              <a:solidFill>
                <a:schemeClr val="bg1"/>
              </a:solidFill>
              <a:latin typeface="Tw Cen MT"/>
              <a:ea typeface="+mn-ea"/>
              <a:cs typeface="+mn-cs"/>
            </a:rPr>
            <a:t>TOTAL DOSE 2</a:t>
          </a:r>
        </a:p>
        <a:p>
          <a:pPr marL="0" indent="0" algn="ctr"/>
          <a:fld id="{DC0814BB-CC45-48A4-AAEC-8D44B44C8C49}" type="TxLink">
            <a:rPr lang="en-US" sz="1600" b="1" i="0" u="none" strike="noStrike">
              <a:solidFill>
                <a:schemeClr val="bg1"/>
              </a:solidFill>
              <a:latin typeface="Tw Cen MT"/>
              <a:ea typeface="+mn-ea"/>
              <a:cs typeface="+mn-cs"/>
            </a:rPr>
            <a:pPr marL="0" indent="0" algn="ctr"/>
            <a:t>86.4 Cr</a:t>
          </a:fld>
          <a:endParaRPr lang="en-IN" sz="1600" b="1" i="0" u="none" strike="noStrike">
            <a:solidFill>
              <a:schemeClr val="bg1"/>
            </a:solidFill>
            <a:latin typeface="Tw Cen MT"/>
            <a:ea typeface="+mn-ea"/>
            <a:cs typeface="+mn-cs"/>
          </a:endParaRPr>
        </a:p>
      </xdr:txBody>
    </xdr:sp>
    <xdr:clientData/>
  </xdr:twoCellAnchor>
  <xdr:twoCellAnchor>
    <xdr:from>
      <xdr:col>15</xdr:col>
      <xdr:colOff>416682</xdr:colOff>
      <xdr:row>6</xdr:row>
      <xdr:rowOff>10186</xdr:rowOff>
    </xdr:from>
    <xdr:to>
      <xdr:col>18</xdr:col>
      <xdr:colOff>651164</xdr:colOff>
      <xdr:row>10</xdr:row>
      <xdr:rowOff>167990</xdr:rowOff>
    </xdr:to>
    <xdr:sp macro="" textlink="'pivot table'!A28">
      <xdr:nvSpPr>
        <xdr:cNvPr id="7" name="Rectangle: Rounded Corners 6">
          <a:extLst>
            <a:ext uri="{FF2B5EF4-FFF2-40B4-BE49-F238E27FC236}">
              <a16:creationId xmlns:a16="http://schemas.microsoft.com/office/drawing/2014/main" id="{2B03092F-081F-4D6F-9EC8-E7403337E88F}"/>
            </a:ext>
          </a:extLst>
        </xdr:cNvPr>
        <xdr:cNvSpPr/>
      </xdr:nvSpPr>
      <xdr:spPr>
        <a:xfrm>
          <a:off x="10391955" y="1090841"/>
          <a:ext cx="2229536" cy="878240"/>
        </a:xfrm>
        <a:prstGeom prst="roundRect">
          <a:avLst/>
        </a:prstGeom>
        <a:solidFill>
          <a:schemeClr val="tx2"/>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US" sz="1200" b="1" i="0" u="none" strike="noStrike">
              <a:solidFill>
                <a:schemeClr val="bg1"/>
              </a:solidFill>
              <a:latin typeface="Tw Cen MT"/>
              <a:ea typeface="+mn-ea"/>
              <a:cs typeface="+mn-cs"/>
            </a:rPr>
            <a:t>TOTAL PRECAUTION 18-59</a:t>
          </a:r>
        </a:p>
        <a:p>
          <a:pPr marL="0" indent="0" algn="ctr"/>
          <a:fld id="{1F5531E5-D46B-45CF-989A-B2B8E0C51170}" type="TxLink">
            <a:rPr lang="en-US" sz="1600" b="1" i="0" u="none" strike="noStrike">
              <a:solidFill>
                <a:schemeClr val="bg1"/>
              </a:solidFill>
              <a:latin typeface="Tw Cen MT"/>
              <a:ea typeface="+mn-ea"/>
              <a:cs typeface="+mn-cs"/>
            </a:rPr>
            <a:pPr marL="0" indent="0" algn="ctr"/>
            <a:t>15.9 Cr</a:t>
          </a:fld>
          <a:endParaRPr lang="en-IN" sz="1200" b="1" i="0" u="none" strike="noStrike">
            <a:solidFill>
              <a:schemeClr val="bg1"/>
            </a:solidFill>
            <a:latin typeface="Tw Cen MT"/>
            <a:ea typeface="+mn-ea"/>
            <a:cs typeface="+mn-cs"/>
          </a:endParaRPr>
        </a:p>
      </xdr:txBody>
    </xdr:sp>
    <xdr:clientData/>
  </xdr:twoCellAnchor>
  <xdr:twoCellAnchor>
    <xdr:from>
      <xdr:col>0</xdr:col>
      <xdr:colOff>660837</xdr:colOff>
      <xdr:row>6</xdr:row>
      <xdr:rowOff>7219</xdr:rowOff>
    </xdr:from>
    <xdr:to>
      <xdr:col>5</xdr:col>
      <xdr:colOff>-1</xdr:colOff>
      <xdr:row>11</xdr:row>
      <xdr:rowOff>5680</xdr:rowOff>
    </xdr:to>
    <xdr:sp macro="" textlink="">
      <xdr:nvSpPr>
        <xdr:cNvPr id="9" name="Rectangle: Rounded Corners 8">
          <a:extLst>
            <a:ext uri="{FF2B5EF4-FFF2-40B4-BE49-F238E27FC236}">
              <a16:creationId xmlns:a16="http://schemas.microsoft.com/office/drawing/2014/main" id="{38E9EAD2-9206-4B58-93E2-CA02E7804918}"/>
            </a:ext>
          </a:extLst>
        </xdr:cNvPr>
        <xdr:cNvSpPr/>
      </xdr:nvSpPr>
      <xdr:spPr>
        <a:xfrm>
          <a:off x="660837" y="1087874"/>
          <a:ext cx="2664253" cy="899006"/>
        </a:xfrm>
        <a:prstGeom prst="roundRect">
          <a:avLst/>
        </a:prstGeom>
        <a:solidFill>
          <a:schemeClr val="tx2"/>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indent="0" algn="ctr"/>
          <a:r>
            <a:rPr lang="en-US" sz="2400" b="1" i="0" u="none" strike="noStrike">
              <a:solidFill>
                <a:schemeClr val="bg1"/>
              </a:solidFill>
              <a:latin typeface="Tw Cen MT"/>
              <a:ea typeface="+mn-ea"/>
              <a:cs typeface="+mn-cs"/>
            </a:rPr>
            <a:t>NO OF STATES</a:t>
          </a:r>
        </a:p>
        <a:p>
          <a:pPr marL="0" indent="0" algn="ctr"/>
          <a:r>
            <a:rPr lang="en-US" sz="2400" b="1" i="0" u="none" strike="noStrike">
              <a:solidFill>
                <a:schemeClr val="bg1"/>
              </a:solidFill>
              <a:latin typeface="Tw Cen MT"/>
              <a:ea typeface="+mn-ea"/>
              <a:cs typeface="+mn-cs"/>
            </a:rPr>
            <a:t>36</a:t>
          </a:r>
        </a:p>
      </xdr:txBody>
    </xdr:sp>
    <xdr:clientData/>
  </xdr:twoCellAnchor>
  <xdr:twoCellAnchor>
    <xdr:from>
      <xdr:col>19</xdr:col>
      <xdr:colOff>85268</xdr:colOff>
      <xdr:row>6</xdr:row>
      <xdr:rowOff>35859</xdr:rowOff>
    </xdr:from>
    <xdr:to>
      <xdr:col>23</xdr:col>
      <xdr:colOff>58717</xdr:colOff>
      <xdr:row>10</xdr:row>
      <xdr:rowOff>170330</xdr:rowOff>
    </xdr:to>
    <xdr:sp macro="" textlink="'pivot table'!A24">
      <xdr:nvSpPr>
        <xdr:cNvPr id="10" name="Rectangle: Rounded Corners 9">
          <a:extLst>
            <a:ext uri="{FF2B5EF4-FFF2-40B4-BE49-F238E27FC236}">
              <a16:creationId xmlns:a16="http://schemas.microsoft.com/office/drawing/2014/main" id="{B7702223-18B3-4F4D-94D0-FD7C8CAEC7C2}"/>
            </a:ext>
          </a:extLst>
        </xdr:cNvPr>
        <xdr:cNvSpPr/>
      </xdr:nvSpPr>
      <xdr:spPr>
        <a:xfrm>
          <a:off x="12859974" y="1111624"/>
          <a:ext cx="2662861" cy="851647"/>
        </a:xfrm>
        <a:prstGeom prst="roundRect">
          <a:avLst/>
        </a:prstGeom>
        <a:solidFill>
          <a:schemeClr val="tx2"/>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US" sz="1400" b="1" i="0" u="none" strike="noStrike">
              <a:solidFill>
                <a:schemeClr val="bg1"/>
              </a:solidFill>
              <a:latin typeface="+mn-lt"/>
              <a:ea typeface="+mn-ea"/>
              <a:cs typeface="+mn-cs"/>
            </a:rPr>
            <a:t>TOTAL</a:t>
          </a:r>
          <a:r>
            <a:rPr lang="en-US" sz="1400" b="1" i="0" u="none" strike="noStrike" baseline="0">
              <a:solidFill>
                <a:schemeClr val="bg1"/>
              </a:solidFill>
              <a:latin typeface="+mn-lt"/>
              <a:ea typeface="+mn-ea"/>
              <a:cs typeface="+mn-cs"/>
            </a:rPr>
            <a:t> VACCINATION DOSES</a:t>
          </a:r>
          <a:endParaRPr lang="en-US" sz="1400" b="1" i="0" u="none" strike="noStrike">
            <a:solidFill>
              <a:schemeClr val="bg1"/>
            </a:solidFill>
            <a:latin typeface="+mn-lt"/>
            <a:ea typeface="+mn-ea"/>
            <a:cs typeface="+mn-cs"/>
          </a:endParaRPr>
        </a:p>
        <a:p>
          <a:pPr marL="0" indent="0" algn="ctr"/>
          <a:fld id="{4EE9FC04-43E3-4147-8B76-385307116B68}" type="TxLink">
            <a:rPr lang="en-US" sz="1600" b="1" i="0" u="none" strike="noStrike">
              <a:solidFill>
                <a:schemeClr val="bg1"/>
              </a:solidFill>
              <a:latin typeface="Tw Cen MT"/>
              <a:ea typeface="+mn-ea"/>
              <a:cs typeface="+mn-cs"/>
            </a:rPr>
            <a:pPr marL="0" indent="0" algn="ctr"/>
            <a:t>220.1 Cr</a:t>
          </a:fld>
          <a:endParaRPr lang="en-IN" sz="1600" b="1" i="0" u="none" strike="noStrike">
            <a:solidFill>
              <a:schemeClr val="bg1"/>
            </a:solidFill>
            <a:latin typeface="Tw Cen MT"/>
            <a:ea typeface="+mn-ea"/>
            <a:cs typeface="+mn-cs"/>
          </a:endParaRPr>
        </a:p>
      </xdr:txBody>
    </xdr:sp>
    <xdr:clientData/>
  </xdr:twoCellAnchor>
  <xdr:twoCellAnchor>
    <xdr:from>
      <xdr:col>1</xdr:col>
      <xdr:colOff>30480</xdr:colOff>
      <xdr:row>12</xdr:row>
      <xdr:rowOff>24204</xdr:rowOff>
    </xdr:from>
    <xdr:to>
      <xdr:col>11</xdr:col>
      <xdr:colOff>655982</xdr:colOff>
      <xdr:row>31</xdr:row>
      <xdr:rowOff>3266</xdr:rowOff>
    </xdr:to>
    <xdr:graphicFrame macro="">
      <xdr:nvGraphicFramePr>
        <xdr:cNvPr id="13" name="Chart 12">
          <a:extLst>
            <a:ext uri="{FF2B5EF4-FFF2-40B4-BE49-F238E27FC236}">
              <a16:creationId xmlns:a16="http://schemas.microsoft.com/office/drawing/2014/main" id="{A993FC96-7C91-4D94-BBF1-FB24D9940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3297</xdr:colOff>
      <xdr:row>32</xdr:row>
      <xdr:rowOff>0</xdr:rowOff>
    </xdr:from>
    <xdr:to>
      <xdr:col>23</xdr:col>
      <xdr:colOff>10885</xdr:colOff>
      <xdr:row>53</xdr:row>
      <xdr:rowOff>139281</xdr:rowOff>
    </xdr:to>
    <xdr:graphicFrame macro="">
      <xdr:nvGraphicFramePr>
        <xdr:cNvPr id="14" name="Chart 13">
          <a:extLst>
            <a:ext uri="{FF2B5EF4-FFF2-40B4-BE49-F238E27FC236}">
              <a16:creationId xmlns:a16="http://schemas.microsoft.com/office/drawing/2014/main" id="{8D75955F-EB1D-469E-BC0F-AC4E42708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61408</xdr:colOff>
      <xdr:row>12</xdr:row>
      <xdr:rowOff>24973</xdr:rowOff>
    </xdr:from>
    <xdr:to>
      <xdr:col>23</xdr:col>
      <xdr:colOff>46744</xdr:colOff>
      <xdr:row>30</xdr:row>
      <xdr:rowOff>156473</xdr:rowOff>
    </xdr:to>
    <xdr:graphicFrame macro="">
      <xdr:nvGraphicFramePr>
        <xdr:cNvPr id="15" name="Chart 14">
          <a:extLst>
            <a:ext uri="{FF2B5EF4-FFF2-40B4-BE49-F238E27FC236}">
              <a16:creationId xmlns:a16="http://schemas.microsoft.com/office/drawing/2014/main" id="{56B51D66-9B3C-45E1-90CC-B29DB6C55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43089</xdr:colOff>
      <xdr:row>32</xdr:row>
      <xdr:rowOff>9272</xdr:rowOff>
    </xdr:from>
    <xdr:to>
      <xdr:col>11</xdr:col>
      <xdr:colOff>620485</xdr:colOff>
      <xdr:row>53</xdr:row>
      <xdr:rowOff>172558</xdr:rowOff>
    </xdr:to>
    <xdr:graphicFrame macro="">
      <xdr:nvGraphicFramePr>
        <xdr:cNvPr id="16" name="Chart 15">
          <a:extLst>
            <a:ext uri="{FF2B5EF4-FFF2-40B4-BE49-F238E27FC236}">
              <a16:creationId xmlns:a16="http://schemas.microsoft.com/office/drawing/2014/main" id="{93F70E3F-1956-4501-AC9A-D040D5685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30480</xdr:colOff>
      <xdr:row>54</xdr:row>
      <xdr:rowOff>75183</xdr:rowOff>
    </xdr:from>
    <xdr:to>
      <xdr:col>22</xdr:col>
      <xdr:colOff>661309</xdr:colOff>
      <xdr:row>62</xdr:row>
      <xdr:rowOff>1627</xdr:rowOff>
    </xdr:to>
    <mc:AlternateContent xmlns:mc="http://schemas.openxmlformats.org/markup-compatibility/2006" xmlns:a14="http://schemas.microsoft.com/office/drawing/2010/main">
      <mc:Choice Requires="a14">
        <xdr:graphicFrame macro="">
          <xdr:nvGraphicFramePr>
            <xdr:cNvPr id="17" name="State/UTs">
              <a:extLst>
                <a:ext uri="{FF2B5EF4-FFF2-40B4-BE49-F238E27FC236}">
                  <a16:creationId xmlns:a16="http://schemas.microsoft.com/office/drawing/2014/main" id="{CACE6255-8E37-4093-BC57-2EB3F655F5BF}"/>
                </a:ext>
              </a:extLst>
            </xdr:cNvPr>
            <xdr:cNvGraphicFramePr/>
          </xdr:nvGraphicFramePr>
          <xdr:xfrm>
            <a:off x="0" y="0"/>
            <a:ext cx="0" cy="0"/>
          </xdr:xfrm>
          <a:graphic>
            <a:graphicData uri="http://schemas.microsoft.com/office/drawing/2010/slicer">
              <sle:slicer xmlns:sle="http://schemas.microsoft.com/office/drawing/2010/slicer" name="State/UTs"/>
            </a:graphicData>
          </a:graphic>
        </xdr:graphicFrame>
      </mc:Choice>
      <mc:Fallback xmlns="">
        <xdr:sp macro="" textlink="">
          <xdr:nvSpPr>
            <xdr:cNvPr id="0" name=""/>
            <xdr:cNvSpPr>
              <a:spLocks noTextEdit="1"/>
            </xdr:cNvSpPr>
          </xdr:nvSpPr>
          <xdr:spPr>
            <a:xfrm>
              <a:off x="697230" y="9333483"/>
              <a:ext cx="14632579" cy="1298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33003</xdr:colOff>
      <xdr:row>1</xdr:row>
      <xdr:rowOff>132348</xdr:rowOff>
    </xdr:from>
    <xdr:to>
      <xdr:col>23</xdr:col>
      <xdr:colOff>76647</xdr:colOff>
      <xdr:row>5</xdr:row>
      <xdr:rowOff>124326</xdr:rowOff>
    </xdr:to>
    <xdr:sp macro="" textlink="">
      <xdr:nvSpPr>
        <xdr:cNvPr id="2" name="Rectangle 1">
          <a:extLst>
            <a:ext uri="{FF2B5EF4-FFF2-40B4-BE49-F238E27FC236}">
              <a16:creationId xmlns:a16="http://schemas.microsoft.com/office/drawing/2014/main" id="{7C415D96-E0FF-4DB4-8593-FD3D0EC62B9C}"/>
            </a:ext>
          </a:extLst>
        </xdr:cNvPr>
        <xdr:cNvSpPr/>
      </xdr:nvSpPr>
      <xdr:spPr>
        <a:xfrm>
          <a:off x="703563" y="307608"/>
          <a:ext cx="14795964" cy="693018"/>
        </a:xfrm>
        <a:prstGeom prst="rect">
          <a:avLst/>
        </a:prstGeom>
        <a:solidFill>
          <a:schemeClr val="accent1">
            <a:lumMod val="5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000" b="1">
              <a:solidFill>
                <a:schemeClr val="bg1"/>
              </a:solidFill>
              <a:effectLst/>
              <a:latin typeface="+mn-lt"/>
              <a:ea typeface="+mn-ea"/>
              <a:cs typeface="+mn-cs"/>
            </a:rPr>
            <a:t>│ COVID-19 INDIA VACCINATION DASHBOARD │</a:t>
          </a:r>
          <a:endParaRPr lang="en-IN" sz="9600">
            <a:solidFill>
              <a:schemeClr val="bg1"/>
            </a:solidFill>
            <a:effectLst/>
          </a:endParaRPr>
        </a:p>
        <a:p>
          <a:pPr algn="ctr"/>
          <a:endParaRPr lang="en-IN" sz="36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9.381939236111" createdVersion="7" refreshedVersion="7" minRefreshableVersion="3" recordCount="36" xr:uid="{00000000-000A-0000-FFFF-FFFF04000000}">
  <cacheSource type="worksheet">
    <worksheetSource name="Table1"/>
  </cacheSource>
  <cacheFields count="11">
    <cacheField name="State/UTs" numFmtId="0">
      <sharedItems count="36">
        <s v="Andaman And Nicobar"/>
        <s v="Andhra Pradesh"/>
        <s v="Arunachal Pradesh"/>
        <s v="Assam"/>
        <s v="Bihar"/>
        <s v="Chandigarh"/>
        <s v="Chhattisgarh"/>
        <s v="Dadra And Nagar Haveli And 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angana"/>
        <s v="Tripura"/>
        <s v="Uttar Pradesh"/>
        <s v="Uttarakhand"/>
        <s v="West Bengal"/>
      </sharedItems>
    </cacheField>
    <cacheField name="Total Vaccination Doses" numFmtId="1">
      <sharedItems containsSemiMixedTypes="0" containsString="0" containsNumber="1" containsInteger="1" minValue="145313" maxValue="392011174"/>
    </cacheField>
    <cacheField name="Dose1" numFmtId="1">
      <sharedItems containsSemiMixedTypes="0" containsString="0" containsNumber="1" containsInteger="1" minValue="56914" maxValue="154096960" count="36">
        <n v="313284"/>
        <n v="40645695"/>
        <n v="861396"/>
        <n v="22550941"/>
        <n v="62956601"/>
        <n v="1090035"/>
        <n v="18956734"/>
        <n v="730855"/>
        <n v="16605099"/>
        <n v="1355046"/>
        <n v="49324964"/>
        <n v="21963352"/>
        <n v="6042660"/>
        <n v="9942707"/>
        <n v="21310378"/>
        <n v="50032922"/>
        <n v="27017714"/>
        <n v="219604"/>
        <n v="56914"/>
        <n v="54143863"/>
        <n v="84665105"/>
        <n v="1464399"/>
        <n v="1332466"/>
        <n v="785860"/>
        <n v="837969"/>
        <n v="31454279"/>
        <n v="913046"/>
        <n v="22361633"/>
        <n v="51115413"/>
        <n v="539929"/>
        <n v="56671366"/>
        <n v="29616909"/>
        <n v="2659018"/>
        <n v="154096960"/>
        <n v="8183361"/>
        <n v="67305396"/>
      </sharedItems>
    </cacheField>
    <cacheField name="Dose 2" numFmtId="1">
      <sharedItems containsSemiMixedTypes="0" containsString="0" containsNumber="1" containsInteger="1" minValue="56019" maxValue="147866674" count="36">
        <n v="320383"/>
        <n v="43555744"/>
        <n v="748505"/>
        <n v="20575569"/>
        <n v="59160917"/>
        <n v="921251"/>
        <n v="18537851"/>
        <n v="595090"/>
        <n v="14356077"/>
        <n v="1224544"/>
        <n v="49448078"/>
        <n v="18749584"/>
        <n v="5783693"/>
        <n v="10388596"/>
        <n v="16112704"/>
        <n v="50520795"/>
        <n v="23803189"/>
        <n v="187095"/>
        <n v="56019"/>
        <n v="54061656"/>
        <n v="71650189"/>
        <n v="1226336"/>
        <n v="1025463"/>
        <n v="669572"/>
        <n v="684747"/>
        <n v="29961065"/>
        <n v="802234"/>
        <n v="19621018"/>
        <n v="46586810"/>
        <n v="509134"/>
        <n v="53532301"/>
        <n v="29076857"/>
        <n v="2328968"/>
        <n v="147866674"/>
        <n v="7949246"/>
        <n v="61606895"/>
      </sharedItems>
    </cacheField>
    <cacheField name="Dose 1 15-18" numFmtId="1">
      <sharedItems containsSemiMixedTypes="0" containsString="0" containsNumber="1" containsInteger="1" minValue="2911" maxValue="14193665"/>
    </cacheField>
    <cacheField name="Dose 2 15-18" numFmtId="1">
      <sharedItems containsSemiMixedTypes="0" containsString="0" containsNumber="1" containsInteger="1" minValue="2782" maxValue="13227415"/>
    </cacheField>
    <cacheField name="Dose 1 12-14" numFmtId="1">
      <sharedItems containsSemiMixedTypes="0" containsString="0" containsNumber="1" containsInteger="1" minValue="1988" maxValue="8709857"/>
    </cacheField>
    <cacheField name="Dose 2 12-14" numFmtId="1">
      <sharedItems containsSemiMixedTypes="0" containsString="0" containsNumber="1" containsInteger="1" minValue="1724" maxValue="7876085"/>
    </cacheField>
    <cacheField name="Precaution 18-59" numFmtId="1">
      <sharedItems containsSemiMixedTypes="0" containsString="0" containsNumber="1" containsInteger="1" minValue="15990" maxValue="36643273"/>
    </cacheField>
    <cacheField name="Population" numFmtId="1">
      <sharedItems containsSemiMixedTypes="0" containsString="0" containsNumber="1" containsInteger="1" minValue="66001" maxValue="231502578"/>
    </cacheField>
    <cacheField name="Vaccination %" numFmtId="2">
      <sharedItems containsSemiMixedTypes="0" containsString="0" containsNumber="1" minValue="69.616603789999999" maxValue="248.43647010000001"/>
    </cacheField>
  </cacheFields>
  <extLst>
    <ext xmlns:x14="http://schemas.microsoft.com/office/spreadsheetml/2009/9/main" uri="{725AE2AE-9491-48be-B2B4-4EB974FC3084}">
      <x14:pivotCacheDefinition pivotCacheId="1208819549"/>
    </ext>
  </extLst>
</pivotCacheDefinition>
</file>

<file path=xl/pivotCache/pivotCacheRecords1.xml><?xml version="1.0" encoding="utf-8"?>
<pivotCacheRecords xmlns="http://schemas.openxmlformats.org/spreadsheetml/2006/main" xmlns:r="http://schemas.openxmlformats.org/officeDocument/2006/relationships" count="36">
  <r>
    <x v="0"/>
    <n v="991264"/>
    <x v="0"/>
    <x v="0"/>
    <n v="19208"/>
    <n v="18860"/>
    <n v="15124"/>
    <n v="14042"/>
    <n v="236936"/>
    <n v="399001"/>
    <n v="248.43647010000001"/>
  </r>
  <r>
    <x v="1"/>
    <n v="110957430"/>
    <x v="1"/>
    <x v="1"/>
    <n v="2535344"/>
    <n v="2527613"/>
    <n v="1523375"/>
    <n v="1495445"/>
    <n v="12054868"/>
    <n v="91702478"/>
    <n v="120.9971992"/>
  </r>
  <r>
    <x v="2"/>
    <n v="1924584"/>
    <x v="2"/>
    <x v="2"/>
    <n v="59100"/>
    <n v="44869"/>
    <n v="40852"/>
    <n v="28445"/>
    <n v="81191"/>
    <n v="1711947"/>
    <n v="112.42077"/>
  </r>
  <r>
    <x v="3"/>
    <n v="50335778"/>
    <x v="3"/>
    <x v="3"/>
    <n v="1262520"/>
    <n v="972402"/>
    <n v="999552"/>
    <n v="602283"/>
    <n v="2108179"/>
    <n v="35998752"/>
    <n v="139.82645289999999"/>
  </r>
  <r>
    <x v="4"/>
    <n v="157293015"/>
    <x v="4"/>
    <x v="4"/>
    <n v="6240650"/>
    <n v="5348480"/>
    <n v="4288630"/>
    <n v="3403195"/>
    <n v="12022637"/>
    <n v="128500364"/>
    <n v="122.40666880000001"/>
  </r>
  <r>
    <x v="5"/>
    <n v="2291937"/>
    <x v="5"/>
    <x v="5"/>
    <n v="57708"/>
    <n v="43907"/>
    <n v="38210"/>
    <n v="26050"/>
    <n v="51034"/>
    <n v="1158040"/>
    <n v="197.91518429999999"/>
  </r>
  <r>
    <x v="6"/>
    <n v="49167939"/>
    <x v="6"/>
    <x v="6"/>
    <n v="1234990"/>
    <n v="1053338"/>
    <n v="1076071"/>
    <n v="752571"/>
    <n v="5750424"/>
    <n v="32199722"/>
    <n v="152.69678099999999"/>
  </r>
  <r>
    <x v="7"/>
    <n v="1580060"/>
    <x v="7"/>
    <x v="7"/>
    <n v="31509"/>
    <n v="26943"/>
    <n v="19989"/>
    <n v="14929"/>
    <n v="138137"/>
    <n v="773997"/>
    <n v="204.14291009999999"/>
  </r>
  <r>
    <x v="8"/>
    <n v="37409355"/>
    <x v="8"/>
    <x v="8"/>
    <n v="1008977"/>
    <n v="870793"/>
    <n v="683771"/>
    <n v="490644"/>
    <n v="2337340"/>
    <n v="19301096"/>
    <n v="193.81984840000001"/>
  </r>
  <r>
    <x v="9"/>
    <n v="2874477"/>
    <x v="9"/>
    <x v="9"/>
    <n v="51734"/>
    <n v="44551"/>
    <n v="33265"/>
    <n v="26640"/>
    <n v="61965"/>
    <n v="1521992"/>
    <n v="188.86281930000001"/>
  </r>
  <r>
    <x v="10"/>
    <n v="128105565"/>
    <x v="10"/>
    <x v="10"/>
    <n v="3131906"/>
    <n v="2906693"/>
    <n v="1941624"/>
    <n v="1677874"/>
    <n v="13702810"/>
    <n v="70400153"/>
    <n v="181.96773659999999"/>
  </r>
  <r>
    <x v="11"/>
    <n v="45546800"/>
    <x v="11"/>
    <x v="11"/>
    <n v="1158529"/>
    <n v="771892"/>
    <n v="559947"/>
    <n v="327809"/>
    <n v="1306744"/>
    <n v="28900667"/>
    <n v="157.59774680000001"/>
  </r>
  <r>
    <x v="12"/>
    <n v="15325484"/>
    <x v="12"/>
    <x v="12"/>
    <n v="331826"/>
    <n v="309613"/>
    <n v="272064"/>
    <n v="235002"/>
    <n v="1520001"/>
    <n v="7503010"/>
    <n v="204.25781119999999"/>
  </r>
  <r>
    <x v="13"/>
    <n v="24782265"/>
    <x v="13"/>
    <x v="13"/>
    <n v="876049"/>
    <n v="861731"/>
    <n v="553845"/>
    <n v="517818"/>
    <n v="965200"/>
    <n v="14999397"/>
    <n v="165.22174190000001"/>
  </r>
  <r>
    <x v="14"/>
    <n v="43875944"/>
    <x v="14"/>
    <x v="14"/>
    <n v="1596112"/>
    <n v="1125458"/>
    <n v="1062630"/>
    <n v="622673"/>
    <n v="1371673"/>
    <n v="40100376"/>
    <n v="109.4152933"/>
  </r>
  <r>
    <x v="15"/>
    <n v="122152396"/>
    <x v="15"/>
    <x v="15"/>
    <n v="2816444"/>
    <n v="2719866"/>
    <n v="2325476"/>
    <n v="2151242"/>
    <n v="6718023"/>
    <n v="69599762"/>
    <n v="175.50691620000001"/>
  </r>
  <r>
    <x v="16"/>
    <n v="57511593"/>
    <x v="16"/>
    <x v="16"/>
    <n v="1322849"/>
    <n v="957271"/>
    <n v="810955"/>
    <n v="511981"/>
    <n v="869095"/>
    <n v="34698876"/>
    <n v="165.74482990000001"/>
  </r>
  <r>
    <x v="17"/>
    <n v="567133"/>
    <x v="17"/>
    <x v="17"/>
    <n v="10072"/>
    <n v="9261"/>
    <n v="8627"/>
    <n v="7758"/>
    <n v="70299"/>
    <n v="290492"/>
    <n v="195.23188250000001"/>
  </r>
  <r>
    <x v="18"/>
    <n v="145313"/>
    <x v="18"/>
    <x v="18"/>
    <n v="2911"/>
    <n v="2782"/>
    <n v="1988"/>
    <n v="1724"/>
    <n v="15990"/>
    <n v="66001"/>
    <n v="220.16787619999999"/>
  </r>
  <r>
    <x v="19"/>
    <n v="133940196"/>
    <x v="19"/>
    <x v="19"/>
    <n v="4194628"/>
    <n v="3472824"/>
    <n v="2410962"/>
    <n v="1698670"/>
    <n v="10127768"/>
    <n v="85002417"/>
    <n v="157.57222060000001"/>
  </r>
  <r>
    <x v="20"/>
    <n v="177977996"/>
    <x v="20"/>
    <x v="20"/>
    <n v="4119145"/>
    <n v="3108854"/>
    <n v="2891273"/>
    <n v="1870754"/>
    <n v="5188711"/>
    <n v="124904071"/>
    <n v="142.4917495"/>
  </r>
  <r>
    <x v="21"/>
    <n v="3269105"/>
    <x v="21"/>
    <x v="21"/>
    <n v="109652"/>
    <n v="68555"/>
    <n v="75418"/>
    <n v="44329"/>
    <n v="115059"/>
    <n v="3436948"/>
    <n v="95.116510349999999"/>
  </r>
  <r>
    <x v="22"/>
    <n v="2626010"/>
    <x v="22"/>
    <x v="22"/>
    <n v="77151"/>
    <n v="42858"/>
    <n v="37399"/>
    <n v="19556"/>
    <n v="33391"/>
    <n v="3772103"/>
    <n v="69.616603789999999"/>
  </r>
  <r>
    <x v="23"/>
    <n v="1793298"/>
    <x v="23"/>
    <x v="23"/>
    <n v="60098"/>
    <n v="47010"/>
    <n v="48360"/>
    <n v="33595"/>
    <n v="80888"/>
    <n v="1308967"/>
    <n v="137.0010092"/>
  </r>
  <r>
    <x v="24"/>
    <n v="1739837"/>
    <x v="24"/>
    <x v="24"/>
    <n v="59974"/>
    <n v="40347"/>
    <n v="26012"/>
    <n v="19889"/>
    <n v="26877"/>
    <n v="2073074"/>
    <n v="83.925465279999997"/>
  </r>
  <r>
    <x v="25"/>
    <n v="81545960"/>
    <x v="25"/>
    <x v="25"/>
    <n v="2195563"/>
    <n v="1844432"/>
    <n v="1601002"/>
    <n v="1206692"/>
    <n v="10069825"/>
    <n v="47099270"/>
    <n v="173.13635650000001"/>
  </r>
  <r>
    <x v="26"/>
    <n v="2274059"/>
    <x v="26"/>
    <x v="26"/>
    <n v="50694"/>
    <n v="44614"/>
    <n v="30873"/>
    <n v="21251"/>
    <n v="304200"/>
    <n v="1646050"/>
    <n v="138.15248629999999"/>
  </r>
  <r>
    <x v="27"/>
    <n v="47051166"/>
    <x v="27"/>
    <x v="27"/>
    <n v="1117510"/>
    <n v="878056"/>
    <n v="684148"/>
    <n v="497396"/>
    <n v="840406"/>
    <n v="30501026"/>
    <n v="154.26092879999999"/>
  </r>
  <r>
    <x v="28"/>
    <n v="115721511"/>
    <x v="28"/>
    <x v="28"/>
    <n v="3576045"/>
    <n v="2955043"/>
    <n v="2343976"/>
    <n v="1496833"/>
    <n v="4631834"/>
    <n v="79502477"/>
    <n v="145.55711389999999"/>
  </r>
  <r>
    <x v="29"/>
    <n v="1360477"/>
    <x v="29"/>
    <x v="29"/>
    <n v="30049"/>
    <n v="26515"/>
    <n v="21899"/>
    <n v="19007"/>
    <n v="158301"/>
    <n v="658019"/>
    <n v="206.75345239999999"/>
  </r>
  <r>
    <x v="30"/>
    <n v="127533904"/>
    <x v="30"/>
    <x v="30"/>
    <n v="2627751"/>
    <n v="2224043"/>
    <n v="1917151"/>
    <n v="1465291"/>
    <n v="6066180"/>
    <n v="83697770"/>
    <n v="152.37431530000001"/>
  </r>
  <r>
    <x v="31"/>
    <n v="77627542"/>
    <x v="31"/>
    <x v="31"/>
    <n v="1724095"/>
    <n v="1582421"/>
    <n v="1107824"/>
    <n v="906491"/>
    <n v="10860254"/>
    <n v="38157311"/>
    <n v="203.4408085"/>
  </r>
  <r>
    <x v="32"/>
    <n v="5918997"/>
    <x v="32"/>
    <x v="32"/>
    <n v="144833"/>
    <n v="115278"/>
    <n v="112965"/>
    <n v="79612"/>
    <n v="273061"/>
    <n v="4184959"/>
    <n v="141.4350057"/>
  </r>
  <r>
    <x v="33"/>
    <n v="392011174"/>
    <x v="33"/>
    <x v="33"/>
    <n v="14193665"/>
    <n v="13227415"/>
    <n v="8709857"/>
    <n v="7876085"/>
    <n v="36643273"/>
    <n v="231502578"/>
    <n v="169.33339459999999"/>
  </r>
  <r>
    <x v="34"/>
    <n v="20143654"/>
    <x v="34"/>
    <x v="34"/>
    <n v="532982"/>
    <n v="467836"/>
    <n v="402314"/>
    <n v="315985"/>
    <n v="1417182"/>
    <n v="11700099"/>
    <n v="172.1665261"/>
  </r>
  <r>
    <x v="35"/>
    <n v="156100370"/>
    <x v="35"/>
    <x v="35"/>
    <n v="3599987"/>
    <n v="3041540"/>
    <n v="2622505"/>
    <n v="2059418"/>
    <n v="10358494"/>
    <n v="100896618"/>
    <n v="154.71318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11">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dataField="1" numFmtId="1" showAll="0"/>
    <pivotField numFmtId="1" showAll="0"/>
    <pivotField numFmtId="1" showAll="0"/>
    <pivotField numFmtId="1" showAll="0"/>
    <pivotField numFmtId="1" showAll="0"/>
    <pivotField numFmtId="1" showAll="0"/>
    <pivotField numFmtId="1" showAll="0"/>
    <pivotField numFmtId="1" showAll="0"/>
    <pivotField numFmtId="1" showAll="0"/>
    <pivotField numFmtId="2" showAll="0"/>
  </pivotFields>
  <rowItems count="1">
    <i/>
  </rowItems>
  <colItems count="1">
    <i/>
  </colItems>
  <dataFields count="1">
    <dataField name="Sum of Total Vaccination Doses" fld="1"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C3:D40" firstHeaderRow="1" firstDataRow="1" firstDataCol="1"/>
  <pivotFields count="11">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dataField="1" numFmtId="1" showAll="0"/>
    <pivotField numFmtId="1" showAll="0"/>
    <pivotField numFmtId="1" showAll="0"/>
    <pivotField numFmtId="1" showAll="0"/>
    <pivotField numFmtId="1" showAll="0"/>
    <pivotField numFmtId="1" showAll="0"/>
    <pivotField numFmtId="1" showAll="0"/>
    <pivotField numFmtId="1" showAll="0"/>
    <pivotField numFmtId="1" showAll="0"/>
    <pivotField numFmtId="2"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Total Vaccination Doses" fld="1" baseField="0" baseItem="0"/>
  </dataFields>
  <chartFormats count="2">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C42:E79" firstHeaderRow="0" firstDataRow="1" firstDataCol="1"/>
  <pivotFields count="11">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umFmtId="1" showAll="0"/>
    <pivotField dataField="1" numFmtId="1" showAll="0">
      <items count="37">
        <item x="18"/>
        <item x="17"/>
        <item x="0"/>
        <item x="29"/>
        <item x="7"/>
        <item x="23"/>
        <item x="24"/>
        <item x="2"/>
        <item x="26"/>
        <item x="5"/>
        <item x="22"/>
        <item x="9"/>
        <item x="21"/>
        <item x="32"/>
        <item x="12"/>
        <item x="34"/>
        <item x="13"/>
        <item x="8"/>
        <item x="6"/>
        <item x="14"/>
        <item x="11"/>
        <item x="27"/>
        <item x="3"/>
        <item x="16"/>
        <item x="31"/>
        <item x="25"/>
        <item x="1"/>
        <item x="10"/>
        <item x="15"/>
        <item x="28"/>
        <item x="19"/>
        <item x="30"/>
        <item x="4"/>
        <item x="35"/>
        <item x="20"/>
        <item x="33"/>
        <item t="default"/>
      </items>
    </pivotField>
    <pivotField dataField="1" numFmtId="1" showAll="0">
      <items count="37">
        <item x="18"/>
        <item x="17"/>
        <item x="0"/>
        <item x="29"/>
        <item x="7"/>
        <item x="23"/>
        <item x="24"/>
        <item x="2"/>
        <item x="26"/>
        <item x="5"/>
        <item x="22"/>
        <item x="9"/>
        <item x="21"/>
        <item x="32"/>
        <item x="12"/>
        <item x="34"/>
        <item x="13"/>
        <item x="8"/>
        <item x="14"/>
        <item x="6"/>
        <item x="11"/>
        <item x="27"/>
        <item x="3"/>
        <item x="16"/>
        <item x="31"/>
        <item x="25"/>
        <item x="1"/>
        <item x="28"/>
        <item x="10"/>
        <item x="15"/>
        <item x="30"/>
        <item x="19"/>
        <item x="4"/>
        <item x="35"/>
        <item x="20"/>
        <item x="33"/>
        <item t="default"/>
      </items>
    </pivotField>
    <pivotField numFmtId="1" showAll="0"/>
    <pivotField numFmtId="1" showAll="0"/>
    <pivotField numFmtId="1" showAll="0"/>
    <pivotField numFmtId="1" showAll="0"/>
    <pivotField numFmtId="1" showAll="0"/>
    <pivotField numFmtId="1" showAll="0"/>
    <pivotField numFmtId="2"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2">
    <i>
      <x/>
    </i>
    <i i="1">
      <x v="1"/>
    </i>
  </colItems>
  <dataFields count="2">
    <dataField name="Sum of Dose1" fld="2" baseField="0" baseItem="0"/>
    <dataField name="Sum of Dose 2" fld="3" baseField="0" baseItem="0"/>
  </dataFields>
  <chartFormats count="6">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8:A19" firstHeaderRow="1" firstDataRow="1" firstDataCol="0"/>
  <pivotFields count="11">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2" showAll="0"/>
  </pivotFields>
  <rowItems count="1">
    <i/>
  </rowItems>
  <colItems count="1">
    <i/>
  </colItems>
  <dataFields count="1">
    <dataField name="Sum of Precaution 18-59" fld="8"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G44:H81" firstHeaderRow="1" firstDataRow="1" firstDataCol="1"/>
  <pivotFields count="11">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2"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Population" fld="9" baseField="0" baseItem="0"/>
  </dataFields>
  <chartFormats count="3">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A10" firstHeaderRow="1" firstDataRow="1" firstDataCol="0"/>
  <pivotFields count="11">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2" showAll="0"/>
  </pivotFields>
  <rowItems count="1">
    <i/>
  </rowItems>
  <colItems count="1">
    <i/>
  </colItems>
  <dataFields count="1">
    <dataField name="Total polpulation count" fld="9"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A13" firstHeaderRow="1" firstDataRow="1" firstDataCol="0"/>
  <pivotFields count="11">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umFmtId="1" showAll="0"/>
    <pivotField dataField="1" numFmtId="1" showAll="0"/>
    <pivotField numFmtId="1" showAll="0"/>
    <pivotField numFmtId="1" showAll="0"/>
    <pivotField numFmtId="1" showAll="0"/>
    <pivotField numFmtId="1" showAll="0"/>
    <pivotField numFmtId="1" showAll="0"/>
    <pivotField numFmtId="1" showAll="0"/>
    <pivotField numFmtId="1" showAll="0"/>
    <pivotField numFmtId="2" showAll="0"/>
  </pivotFields>
  <rowItems count="1">
    <i/>
  </rowItems>
  <colItems count="1">
    <i/>
  </colItems>
  <dataFields count="1">
    <dataField name="Sum of Dose1" fld="2"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A16" firstHeaderRow="1" firstDataRow="1" firstDataCol="0"/>
  <pivotFields count="11">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umFmtId="1" showAll="0"/>
    <pivotField numFmtId="1" showAll="0"/>
    <pivotField dataField="1" numFmtId="1" showAll="0"/>
    <pivotField numFmtId="1" showAll="0"/>
    <pivotField numFmtId="1" showAll="0"/>
    <pivotField numFmtId="1" showAll="0"/>
    <pivotField numFmtId="1" showAll="0"/>
    <pivotField numFmtId="1" showAll="0"/>
    <pivotField numFmtId="1" showAll="0"/>
    <pivotField numFmtId="2" showAll="0"/>
  </pivotFields>
  <rowItems count="1">
    <i/>
  </rowItems>
  <colItems count="1">
    <i/>
  </colItems>
  <dataFields count="1">
    <dataField name="Sum of Dose 2" fld="3"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G3:H40" firstHeaderRow="1" firstDataRow="1" firstDataCol="1"/>
  <pivotFields count="11">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2"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Vaccination %" fld="10" baseField="0" baseItem="0" numFmtId="1"/>
  </dataFields>
  <formats count="1">
    <format dxfId="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1">
    <pivotField dataField="1"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2" showAll="0"/>
  </pivotFields>
  <rowItems count="1">
    <i/>
  </rowItems>
  <colItems count="1">
    <i/>
  </colItems>
  <dataFields count="1">
    <dataField name="Count of State/U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s" xr10:uid="{C61BAA04-3875-4C3E-BC8A-D8511A8B960E}" sourceName="State/UTs">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208819549">
      <items count="3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UTs 1" xr10:uid="{7C74F827-CEEE-4980-8476-7DBD5179082F}" cache="Slicer_State_UTs" caption="State/UTs" style="SlicerStyleDark6"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UTs" xr10:uid="{CBADCAF1-E440-4BC8-A94B-55514163C0D9}" cache="Slicer_State_UTs" caption="State/UTs" columnCount="9" style="SlicerStyleDark1"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37" totalsRowShown="0">
  <autoFilter ref="A1:K37" xr:uid="{00000000-0009-0000-0100-000001000000}"/>
  <tableColumns count="11">
    <tableColumn id="1" xr3:uid="{00000000-0010-0000-0000-000001000000}" name="State/UTs"/>
    <tableColumn id="2" xr3:uid="{00000000-0010-0000-0000-000002000000}" name="Total Vaccination Doses" dataDxfId="15"/>
    <tableColumn id="3" xr3:uid="{00000000-0010-0000-0000-000003000000}" name="Dose1" dataDxfId="14"/>
    <tableColumn id="4" xr3:uid="{00000000-0010-0000-0000-000004000000}" name="Dose2" dataDxfId="13"/>
    <tableColumn id="5" xr3:uid="{00000000-0010-0000-0000-000005000000}" name="Dose 1 15-18" dataDxfId="12"/>
    <tableColumn id="6" xr3:uid="{00000000-0010-0000-0000-000006000000}" name="Dose 2 15-18" dataDxfId="11"/>
    <tableColumn id="7" xr3:uid="{00000000-0010-0000-0000-000007000000}" name="Dose 1 12-14" dataDxfId="10"/>
    <tableColumn id="8" xr3:uid="{00000000-0010-0000-0000-000008000000}" name="Dose 2 12-14" dataDxfId="9"/>
    <tableColumn id="9" xr3:uid="{00000000-0010-0000-0000-000009000000}" name="Precaution 18-59" dataDxfId="8"/>
    <tableColumn id="10" xr3:uid="{00000000-0010-0000-0000-00000A000000}" name="Population" dataDxfId="7"/>
    <tableColumn id="11" xr3:uid="{00000000-0010-0000-0000-00000B000000}" name="Vaccination %" dataDxfId="6"/>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spDef>
      <a:spPr/>
      <a:bodyPr vertOverflow="clip" horzOverflow="clip" rtlCol="0" anchor="t"/>
      <a:lstStyle>
        <a:defPPr algn="ctr">
          <a:defRPr sz="3600" b="1">
            <a:solidFill>
              <a:schemeClr val="bg1"/>
            </a:solidFill>
          </a:defRPr>
        </a:defPPr>
      </a:lstStyle>
      <a:style>
        <a:lnRef idx="2">
          <a:schemeClr val="accent6">
            <a:shade val="50000"/>
          </a:schemeClr>
        </a:lnRef>
        <a:fillRef idx="1">
          <a:schemeClr val="accent6"/>
        </a:fillRef>
        <a:effectRef idx="0">
          <a:schemeClr val="accent6"/>
        </a:effectRef>
        <a:fontRef idx="minor">
          <a:schemeClr val="lt1"/>
        </a:fontRef>
      </a:style>
    </a:spDef>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B2414-C06E-450A-9DF0-3A7D9BAD4000}">
  <dimension ref="A1"/>
  <sheetViews>
    <sheetView showGridLines="0" zoomScale="40" zoomScaleNormal="40" workbookViewId="0">
      <selection activeCell="AP25" sqref="AP25"/>
    </sheetView>
  </sheetViews>
  <sheetFormatPr defaultRowHeight="13.8"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
  <sheetViews>
    <sheetView zoomScale="85" zoomScaleNormal="85" workbookViewId="0">
      <selection activeCell="O21" sqref="O21"/>
    </sheetView>
  </sheetViews>
  <sheetFormatPr defaultRowHeight="13.8" x14ac:dyDescent="0.25"/>
  <sheetData>
    <row r="1" spans="1:11" x14ac:dyDescent="0.25">
      <c r="A1" t="s">
        <v>0</v>
      </c>
      <c r="B1" t="s">
        <v>1</v>
      </c>
      <c r="C1" t="s">
        <v>2</v>
      </c>
      <c r="D1" t="s">
        <v>3</v>
      </c>
      <c r="E1" t="s">
        <v>4</v>
      </c>
      <c r="F1" t="s">
        <v>5</v>
      </c>
      <c r="G1" t="s">
        <v>6</v>
      </c>
      <c r="H1" t="s">
        <v>7</v>
      </c>
      <c r="I1" t="s">
        <v>8</v>
      </c>
      <c r="J1" t="s">
        <v>9</v>
      </c>
      <c r="K1" t="s">
        <v>10</v>
      </c>
    </row>
    <row r="2" spans="1:11" x14ac:dyDescent="0.25">
      <c r="A2" t="s">
        <v>11</v>
      </c>
      <c r="B2">
        <v>991264</v>
      </c>
      <c r="C2">
        <v>313284</v>
      </c>
      <c r="D2">
        <v>320383</v>
      </c>
      <c r="E2">
        <v>19208</v>
      </c>
      <c r="F2">
        <v>18860</v>
      </c>
      <c r="G2">
        <v>15124</v>
      </c>
      <c r="H2">
        <v>14042</v>
      </c>
      <c r="I2">
        <v>236936</v>
      </c>
      <c r="J2">
        <v>399001</v>
      </c>
      <c r="K2">
        <v>248.43647010000001</v>
      </c>
    </row>
    <row r="3" spans="1:11" x14ac:dyDescent="0.25">
      <c r="A3" t="s">
        <v>12</v>
      </c>
      <c r="B3">
        <v>110957430</v>
      </c>
      <c r="C3">
        <v>40645695</v>
      </c>
      <c r="D3">
        <v>43555744</v>
      </c>
      <c r="E3">
        <v>2535344</v>
      </c>
      <c r="F3">
        <v>2527613</v>
      </c>
      <c r="G3">
        <v>1523375</v>
      </c>
      <c r="H3">
        <v>1495445</v>
      </c>
      <c r="I3">
        <v>12054868</v>
      </c>
      <c r="J3">
        <v>91702478</v>
      </c>
      <c r="K3">
        <v>120.9971992</v>
      </c>
    </row>
    <row r="4" spans="1:11" x14ac:dyDescent="0.25">
      <c r="A4" t="s">
        <v>13</v>
      </c>
      <c r="B4">
        <v>1924584</v>
      </c>
      <c r="C4">
        <v>861396</v>
      </c>
      <c r="D4">
        <v>748505</v>
      </c>
      <c r="E4">
        <v>59100</v>
      </c>
      <c r="F4">
        <v>44869</v>
      </c>
      <c r="G4">
        <v>40852</v>
      </c>
      <c r="H4">
        <v>28445</v>
      </c>
      <c r="I4">
        <v>81191</v>
      </c>
      <c r="J4">
        <v>1711947</v>
      </c>
      <c r="K4">
        <v>112.42077</v>
      </c>
    </row>
    <row r="5" spans="1:11" x14ac:dyDescent="0.25">
      <c r="A5" t="s">
        <v>14</v>
      </c>
      <c r="B5">
        <v>50335778</v>
      </c>
      <c r="C5">
        <v>22550941</v>
      </c>
      <c r="D5">
        <v>20575569</v>
      </c>
      <c r="E5">
        <v>1262520</v>
      </c>
      <c r="F5">
        <v>972402</v>
      </c>
      <c r="G5">
        <v>999552</v>
      </c>
      <c r="H5">
        <v>602283</v>
      </c>
      <c r="I5">
        <v>2108179</v>
      </c>
      <c r="J5">
        <v>35998752</v>
      </c>
      <c r="K5">
        <v>139.82645289999999</v>
      </c>
    </row>
    <row r="6" spans="1:11" x14ac:dyDescent="0.25">
      <c r="A6" t="s">
        <v>15</v>
      </c>
      <c r="B6">
        <v>157293015</v>
      </c>
      <c r="C6">
        <v>62956601</v>
      </c>
      <c r="D6">
        <v>59160917</v>
      </c>
      <c r="E6">
        <v>6240650</v>
      </c>
      <c r="F6">
        <v>5348480</v>
      </c>
      <c r="G6">
        <v>4288630</v>
      </c>
      <c r="H6">
        <v>3403195</v>
      </c>
      <c r="I6">
        <v>12022637</v>
      </c>
      <c r="J6">
        <v>128500364</v>
      </c>
      <c r="K6">
        <v>122.40666880000001</v>
      </c>
    </row>
    <row r="7" spans="1:11" x14ac:dyDescent="0.25">
      <c r="A7" t="s">
        <v>16</v>
      </c>
      <c r="B7">
        <v>2291937</v>
      </c>
      <c r="C7">
        <v>1090035</v>
      </c>
      <c r="D7">
        <v>921251</v>
      </c>
      <c r="E7">
        <v>57708</v>
      </c>
      <c r="F7">
        <v>43907</v>
      </c>
      <c r="G7">
        <v>38210</v>
      </c>
      <c r="H7">
        <v>26050</v>
      </c>
      <c r="I7">
        <v>51034</v>
      </c>
      <c r="J7">
        <v>1158040</v>
      </c>
      <c r="K7">
        <v>197.91518429999999</v>
      </c>
    </row>
    <row r="8" spans="1:11" x14ac:dyDescent="0.25">
      <c r="A8" t="s">
        <v>17</v>
      </c>
      <c r="B8">
        <v>49167939</v>
      </c>
      <c r="C8">
        <v>18956734</v>
      </c>
      <c r="D8">
        <v>18537851</v>
      </c>
      <c r="E8">
        <v>1234990</v>
      </c>
      <c r="F8">
        <v>1053338</v>
      </c>
      <c r="G8">
        <v>1076071</v>
      </c>
      <c r="H8">
        <v>752571</v>
      </c>
      <c r="I8">
        <v>5750424</v>
      </c>
      <c r="J8">
        <v>32199722</v>
      </c>
      <c r="K8">
        <v>152.69678099999999</v>
      </c>
    </row>
    <row r="9" spans="1:11" x14ac:dyDescent="0.25">
      <c r="A9" t="s">
        <v>18</v>
      </c>
      <c r="B9">
        <v>1580060</v>
      </c>
      <c r="C9">
        <v>730855</v>
      </c>
      <c r="D9">
        <v>595090</v>
      </c>
      <c r="E9">
        <v>31509</v>
      </c>
      <c r="F9">
        <v>26943</v>
      </c>
      <c r="G9">
        <v>19989</v>
      </c>
      <c r="H9">
        <v>14929</v>
      </c>
      <c r="I9">
        <v>138137</v>
      </c>
      <c r="J9">
        <v>773997</v>
      </c>
      <c r="K9">
        <v>204.14291009999999</v>
      </c>
    </row>
    <row r="10" spans="1:11" x14ac:dyDescent="0.25">
      <c r="A10" t="s">
        <v>19</v>
      </c>
      <c r="B10">
        <v>37409355</v>
      </c>
      <c r="C10">
        <v>16605099</v>
      </c>
      <c r="D10">
        <v>14356077</v>
      </c>
      <c r="E10">
        <v>1008977</v>
      </c>
      <c r="F10">
        <v>870793</v>
      </c>
      <c r="G10">
        <v>683771</v>
      </c>
      <c r="H10">
        <v>490644</v>
      </c>
      <c r="I10">
        <v>2337340</v>
      </c>
      <c r="J10">
        <v>19301096</v>
      </c>
      <c r="K10">
        <v>193.81984840000001</v>
      </c>
    </row>
    <row r="11" spans="1:11" x14ac:dyDescent="0.25">
      <c r="A11" t="s">
        <v>20</v>
      </c>
      <c r="B11">
        <v>2874477</v>
      </c>
      <c r="C11">
        <v>1355046</v>
      </c>
      <c r="D11">
        <v>1224544</v>
      </c>
      <c r="E11">
        <v>51734</v>
      </c>
      <c r="F11">
        <v>44551</v>
      </c>
      <c r="G11">
        <v>33265</v>
      </c>
      <c r="H11">
        <v>26640</v>
      </c>
      <c r="I11">
        <v>61965</v>
      </c>
      <c r="J11">
        <v>1521992</v>
      </c>
      <c r="K11">
        <v>188.86281930000001</v>
      </c>
    </row>
    <row r="12" spans="1:11" x14ac:dyDescent="0.25">
      <c r="A12" t="s">
        <v>21</v>
      </c>
      <c r="B12">
        <v>128105565</v>
      </c>
      <c r="C12">
        <v>49324964</v>
      </c>
      <c r="D12">
        <v>49448078</v>
      </c>
      <c r="E12">
        <v>3131906</v>
      </c>
      <c r="F12">
        <v>2906693</v>
      </c>
      <c r="G12">
        <v>1941624</v>
      </c>
      <c r="H12">
        <v>1677874</v>
      </c>
      <c r="I12">
        <v>13702810</v>
      </c>
      <c r="J12">
        <v>70400153</v>
      </c>
      <c r="K12">
        <v>181.96773659999999</v>
      </c>
    </row>
    <row r="13" spans="1:11" x14ac:dyDescent="0.25">
      <c r="A13" t="s">
        <v>22</v>
      </c>
      <c r="B13">
        <v>45546800</v>
      </c>
      <c r="C13">
        <v>21963352</v>
      </c>
      <c r="D13">
        <v>18749584</v>
      </c>
      <c r="E13">
        <v>1158529</v>
      </c>
      <c r="F13">
        <v>771892</v>
      </c>
      <c r="G13">
        <v>559947</v>
      </c>
      <c r="H13">
        <v>327809</v>
      </c>
      <c r="I13">
        <v>1306744</v>
      </c>
      <c r="J13">
        <v>28900667</v>
      </c>
      <c r="K13">
        <v>157.59774680000001</v>
      </c>
    </row>
    <row r="14" spans="1:11" x14ac:dyDescent="0.25">
      <c r="A14" t="s">
        <v>23</v>
      </c>
      <c r="B14">
        <v>15325484</v>
      </c>
      <c r="C14">
        <v>6042660</v>
      </c>
      <c r="D14">
        <v>5783693</v>
      </c>
      <c r="E14">
        <v>331826</v>
      </c>
      <c r="F14">
        <v>309613</v>
      </c>
      <c r="G14">
        <v>272064</v>
      </c>
      <c r="H14">
        <v>235002</v>
      </c>
      <c r="I14">
        <v>1520001</v>
      </c>
      <c r="J14">
        <v>7503010</v>
      </c>
      <c r="K14">
        <v>204.25781119999999</v>
      </c>
    </row>
    <row r="15" spans="1:11" x14ac:dyDescent="0.25">
      <c r="A15" t="s">
        <v>24</v>
      </c>
      <c r="B15">
        <v>24782265</v>
      </c>
      <c r="C15">
        <v>9942707</v>
      </c>
      <c r="D15">
        <v>10388596</v>
      </c>
      <c r="E15">
        <v>876049</v>
      </c>
      <c r="F15">
        <v>861731</v>
      </c>
      <c r="G15">
        <v>553845</v>
      </c>
      <c r="H15">
        <v>517818</v>
      </c>
      <c r="I15">
        <v>965200</v>
      </c>
      <c r="J15">
        <v>14999397</v>
      </c>
      <c r="K15">
        <v>165.22174190000001</v>
      </c>
    </row>
    <row r="16" spans="1:11" x14ac:dyDescent="0.25">
      <c r="A16" t="s">
        <v>25</v>
      </c>
      <c r="B16">
        <v>43875944</v>
      </c>
      <c r="C16">
        <v>21310378</v>
      </c>
      <c r="D16">
        <v>16112704</v>
      </c>
      <c r="E16">
        <v>1596112</v>
      </c>
      <c r="F16">
        <v>1125458</v>
      </c>
      <c r="G16">
        <v>1062630</v>
      </c>
      <c r="H16">
        <v>622673</v>
      </c>
      <c r="I16">
        <v>1371673</v>
      </c>
      <c r="J16">
        <v>40100376</v>
      </c>
      <c r="K16">
        <v>109.4152933</v>
      </c>
    </row>
    <row r="17" spans="1:11" x14ac:dyDescent="0.25">
      <c r="A17" t="s">
        <v>26</v>
      </c>
      <c r="B17">
        <v>122152396</v>
      </c>
      <c r="C17">
        <v>50032922</v>
      </c>
      <c r="D17">
        <v>50520795</v>
      </c>
      <c r="E17">
        <v>2816444</v>
      </c>
      <c r="F17">
        <v>2719866</v>
      </c>
      <c r="G17">
        <v>2325476</v>
      </c>
      <c r="H17">
        <v>2151242</v>
      </c>
      <c r="I17">
        <v>6718023</v>
      </c>
      <c r="J17">
        <v>69599762</v>
      </c>
      <c r="K17">
        <v>175.50691620000001</v>
      </c>
    </row>
    <row r="18" spans="1:11" x14ac:dyDescent="0.25">
      <c r="A18" t="s">
        <v>27</v>
      </c>
      <c r="B18">
        <v>57511593</v>
      </c>
      <c r="C18">
        <v>27017714</v>
      </c>
      <c r="D18">
        <v>23803189</v>
      </c>
      <c r="E18">
        <v>1322849</v>
      </c>
      <c r="F18">
        <v>957271</v>
      </c>
      <c r="G18">
        <v>810955</v>
      </c>
      <c r="H18">
        <v>511981</v>
      </c>
      <c r="I18">
        <v>869095</v>
      </c>
      <c r="J18">
        <v>34698876</v>
      </c>
      <c r="K18">
        <v>165.74482990000001</v>
      </c>
    </row>
    <row r="19" spans="1:11" x14ac:dyDescent="0.25">
      <c r="A19" t="s">
        <v>28</v>
      </c>
      <c r="B19">
        <v>567133</v>
      </c>
      <c r="C19">
        <v>219604</v>
      </c>
      <c r="D19">
        <v>187095</v>
      </c>
      <c r="E19">
        <v>10072</v>
      </c>
      <c r="F19">
        <v>9261</v>
      </c>
      <c r="G19">
        <v>8627</v>
      </c>
      <c r="H19">
        <v>7758</v>
      </c>
      <c r="I19">
        <v>70299</v>
      </c>
      <c r="J19">
        <v>290492</v>
      </c>
      <c r="K19">
        <v>195.23188250000001</v>
      </c>
    </row>
    <row r="20" spans="1:11" x14ac:dyDescent="0.25">
      <c r="A20" t="s">
        <v>29</v>
      </c>
      <c r="B20">
        <v>145313</v>
      </c>
      <c r="C20">
        <v>56914</v>
      </c>
      <c r="D20">
        <v>56019</v>
      </c>
      <c r="E20">
        <v>2911</v>
      </c>
      <c r="F20">
        <v>2782</v>
      </c>
      <c r="G20">
        <v>1988</v>
      </c>
      <c r="H20">
        <v>1724</v>
      </c>
      <c r="I20">
        <v>15990</v>
      </c>
      <c r="J20">
        <v>66001</v>
      </c>
      <c r="K20">
        <v>220.16787619999999</v>
      </c>
    </row>
    <row r="21" spans="1:11" x14ac:dyDescent="0.25">
      <c r="A21" t="s">
        <v>30</v>
      </c>
      <c r="B21">
        <v>133940196</v>
      </c>
      <c r="C21">
        <v>54143863</v>
      </c>
      <c r="D21">
        <v>54061656</v>
      </c>
      <c r="E21">
        <v>4194628</v>
      </c>
      <c r="F21">
        <v>3472824</v>
      </c>
      <c r="G21">
        <v>2410962</v>
      </c>
      <c r="H21">
        <v>1698670</v>
      </c>
      <c r="I21">
        <v>10127768</v>
      </c>
      <c r="J21">
        <v>85002417</v>
      </c>
      <c r="K21">
        <v>157.57222060000001</v>
      </c>
    </row>
    <row r="22" spans="1:11" x14ac:dyDescent="0.25">
      <c r="A22" t="s">
        <v>31</v>
      </c>
      <c r="B22">
        <v>177977996</v>
      </c>
      <c r="C22">
        <v>84665105</v>
      </c>
      <c r="D22">
        <v>71650189</v>
      </c>
      <c r="E22">
        <v>4119145</v>
      </c>
      <c r="F22">
        <v>3108854</v>
      </c>
      <c r="G22">
        <v>2891273</v>
      </c>
      <c r="H22">
        <v>1870754</v>
      </c>
      <c r="I22">
        <v>5188711</v>
      </c>
      <c r="J22">
        <v>124904071</v>
      </c>
      <c r="K22">
        <v>142.4917495</v>
      </c>
    </row>
    <row r="23" spans="1:11" x14ac:dyDescent="0.25">
      <c r="A23" t="s">
        <v>32</v>
      </c>
      <c r="B23">
        <v>3269105</v>
      </c>
      <c r="C23">
        <v>1464399</v>
      </c>
      <c r="D23">
        <v>1226336</v>
      </c>
      <c r="E23">
        <v>109652</v>
      </c>
      <c r="F23">
        <v>68555</v>
      </c>
      <c r="G23">
        <v>75418</v>
      </c>
      <c r="H23">
        <v>44329</v>
      </c>
      <c r="I23">
        <v>115059</v>
      </c>
      <c r="J23">
        <v>3436948</v>
      </c>
      <c r="K23">
        <v>95.116510349999999</v>
      </c>
    </row>
    <row r="24" spans="1:11" x14ac:dyDescent="0.25">
      <c r="A24" t="s">
        <v>33</v>
      </c>
      <c r="B24">
        <v>2626010</v>
      </c>
      <c r="C24">
        <v>1332466</v>
      </c>
      <c r="D24">
        <v>1025463</v>
      </c>
      <c r="E24">
        <v>77151</v>
      </c>
      <c r="F24">
        <v>42858</v>
      </c>
      <c r="G24">
        <v>37399</v>
      </c>
      <c r="H24">
        <v>19556</v>
      </c>
      <c r="I24">
        <v>33391</v>
      </c>
      <c r="J24">
        <v>3772103</v>
      </c>
      <c r="K24">
        <v>69.616603789999999</v>
      </c>
    </row>
    <row r="25" spans="1:11" x14ac:dyDescent="0.25">
      <c r="A25" t="s">
        <v>34</v>
      </c>
      <c r="B25">
        <v>1793298</v>
      </c>
      <c r="C25">
        <v>785860</v>
      </c>
      <c r="D25">
        <v>669572</v>
      </c>
      <c r="E25">
        <v>60098</v>
      </c>
      <c r="F25">
        <v>47010</v>
      </c>
      <c r="G25">
        <v>48360</v>
      </c>
      <c r="H25">
        <v>33595</v>
      </c>
      <c r="I25">
        <v>80888</v>
      </c>
      <c r="J25">
        <v>1308967</v>
      </c>
      <c r="K25">
        <v>137.0010092</v>
      </c>
    </row>
    <row r="26" spans="1:11" x14ac:dyDescent="0.25">
      <c r="A26" t="s">
        <v>35</v>
      </c>
      <c r="B26">
        <v>1739837</v>
      </c>
      <c r="C26">
        <v>837969</v>
      </c>
      <c r="D26">
        <v>684747</v>
      </c>
      <c r="E26">
        <v>59974</v>
      </c>
      <c r="F26">
        <v>40347</v>
      </c>
      <c r="G26">
        <v>26012</v>
      </c>
      <c r="H26">
        <v>19889</v>
      </c>
      <c r="I26">
        <v>26877</v>
      </c>
      <c r="J26">
        <v>2073074</v>
      </c>
      <c r="K26">
        <v>83.925465279999997</v>
      </c>
    </row>
    <row r="27" spans="1:11" x14ac:dyDescent="0.25">
      <c r="A27" t="s">
        <v>36</v>
      </c>
      <c r="B27">
        <v>81545960</v>
      </c>
      <c r="C27">
        <v>31454279</v>
      </c>
      <c r="D27">
        <v>29961065</v>
      </c>
      <c r="E27">
        <v>2195563</v>
      </c>
      <c r="F27">
        <v>1844432</v>
      </c>
      <c r="G27">
        <v>1601002</v>
      </c>
      <c r="H27">
        <v>1206692</v>
      </c>
      <c r="I27">
        <v>10069825</v>
      </c>
      <c r="J27">
        <v>47099270</v>
      </c>
      <c r="K27">
        <v>173.13635650000001</v>
      </c>
    </row>
    <row r="28" spans="1:11" x14ac:dyDescent="0.25">
      <c r="A28" t="s">
        <v>37</v>
      </c>
      <c r="B28">
        <v>2274059</v>
      </c>
      <c r="C28">
        <v>913046</v>
      </c>
      <c r="D28">
        <v>802234</v>
      </c>
      <c r="E28">
        <v>50694</v>
      </c>
      <c r="F28">
        <v>44614</v>
      </c>
      <c r="G28">
        <v>30873</v>
      </c>
      <c r="H28">
        <v>21251</v>
      </c>
      <c r="I28">
        <v>304200</v>
      </c>
      <c r="J28">
        <v>1646050</v>
      </c>
      <c r="K28">
        <v>138.15248629999999</v>
      </c>
    </row>
    <row r="29" spans="1:11" x14ac:dyDescent="0.25">
      <c r="A29" t="s">
        <v>38</v>
      </c>
      <c r="B29">
        <v>47051166</v>
      </c>
      <c r="C29">
        <v>22361633</v>
      </c>
      <c r="D29">
        <v>19621018</v>
      </c>
      <c r="E29">
        <v>1117510</v>
      </c>
      <c r="F29">
        <v>878056</v>
      </c>
      <c r="G29">
        <v>684148</v>
      </c>
      <c r="H29">
        <v>497396</v>
      </c>
      <c r="I29">
        <v>840406</v>
      </c>
      <c r="J29">
        <v>30501026</v>
      </c>
      <c r="K29">
        <v>154.26092879999999</v>
      </c>
    </row>
    <row r="30" spans="1:11" x14ac:dyDescent="0.25">
      <c r="A30" t="s">
        <v>39</v>
      </c>
      <c r="B30">
        <v>115721511</v>
      </c>
      <c r="C30">
        <v>51115413</v>
      </c>
      <c r="D30">
        <v>46586810</v>
      </c>
      <c r="E30">
        <v>3576045</v>
      </c>
      <c r="F30">
        <v>2955043</v>
      </c>
      <c r="G30">
        <v>2343976</v>
      </c>
      <c r="H30">
        <v>1496833</v>
      </c>
      <c r="I30">
        <v>4631834</v>
      </c>
      <c r="J30">
        <v>79502477</v>
      </c>
      <c r="K30">
        <v>145.55711389999999</v>
      </c>
    </row>
    <row r="31" spans="1:11" x14ac:dyDescent="0.25">
      <c r="A31" t="s">
        <v>40</v>
      </c>
      <c r="B31">
        <v>1360477</v>
      </c>
      <c r="C31">
        <v>539929</v>
      </c>
      <c r="D31">
        <v>509134</v>
      </c>
      <c r="E31">
        <v>30049</v>
      </c>
      <c r="F31">
        <v>26515</v>
      </c>
      <c r="G31">
        <v>21899</v>
      </c>
      <c r="H31">
        <v>19007</v>
      </c>
      <c r="I31">
        <v>158301</v>
      </c>
      <c r="J31">
        <v>658019</v>
      </c>
      <c r="K31">
        <v>206.75345239999999</v>
      </c>
    </row>
    <row r="32" spans="1:11" x14ac:dyDescent="0.25">
      <c r="A32" t="s">
        <v>41</v>
      </c>
      <c r="B32">
        <v>127533904</v>
      </c>
      <c r="C32">
        <v>56671366</v>
      </c>
      <c r="D32">
        <v>53532301</v>
      </c>
      <c r="E32">
        <v>2627751</v>
      </c>
      <c r="F32">
        <v>2224043</v>
      </c>
      <c r="G32">
        <v>1917151</v>
      </c>
      <c r="H32">
        <v>1465291</v>
      </c>
      <c r="I32">
        <v>6066180</v>
      </c>
      <c r="J32">
        <v>83697770</v>
      </c>
      <c r="K32">
        <v>152.37431530000001</v>
      </c>
    </row>
    <row r="33" spans="1:11" x14ac:dyDescent="0.25">
      <c r="A33" t="s">
        <v>42</v>
      </c>
      <c r="B33">
        <v>77627542</v>
      </c>
      <c r="C33">
        <v>29616909</v>
      </c>
      <c r="D33">
        <v>29076857</v>
      </c>
      <c r="E33">
        <v>1724095</v>
      </c>
      <c r="F33">
        <v>1582421</v>
      </c>
      <c r="G33">
        <v>1107824</v>
      </c>
      <c r="H33">
        <v>906491</v>
      </c>
      <c r="I33">
        <v>10860254</v>
      </c>
      <c r="J33">
        <v>38157311</v>
      </c>
      <c r="K33">
        <v>203.4408085</v>
      </c>
    </row>
    <row r="34" spans="1:11" x14ac:dyDescent="0.25">
      <c r="A34" t="s">
        <v>43</v>
      </c>
      <c r="B34">
        <v>5918997</v>
      </c>
      <c r="C34">
        <v>2659018</v>
      </c>
      <c r="D34">
        <v>2328968</v>
      </c>
      <c r="E34">
        <v>144833</v>
      </c>
      <c r="F34">
        <v>115278</v>
      </c>
      <c r="G34">
        <v>112965</v>
      </c>
      <c r="H34">
        <v>79612</v>
      </c>
      <c r="I34">
        <v>273061</v>
      </c>
      <c r="J34">
        <v>4184959</v>
      </c>
      <c r="K34">
        <v>141.4350057</v>
      </c>
    </row>
    <row r="35" spans="1:11" x14ac:dyDescent="0.25">
      <c r="A35" t="s">
        <v>44</v>
      </c>
      <c r="B35">
        <v>392011174</v>
      </c>
      <c r="C35">
        <v>154096960</v>
      </c>
      <c r="D35">
        <v>147866674</v>
      </c>
      <c r="E35">
        <v>14193665</v>
      </c>
      <c r="F35">
        <v>13227415</v>
      </c>
      <c r="G35">
        <v>8709857</v>
      </c>
      <c r="H35">
        <v>7876085</v>
      </c>
      <c r="I35">
        <v>36643273</v>
      </c>
      <c r="J35">
        <v>231502578</v>
      </c>
      <c r="K35">
        <v>169.33339459999999</v>
      </c>
    </row>
    <row r="36" spans="1:11" x14ac:dyDescent="0.25">
      <c r="A36" t="s">
        <v>45</v>
      </c>
      <c r="B36">
        <v>20143654</v>
      </c>
      <c r="C36">
        <v>8183361</v>
      </c>
      <c r="D36">
        <v>7949246</v>
      </c>
      <c r="E36">
        <v>532982</v>
      </c>
      <c r="F36">
        <v>467836</v>
      </c>
      <c r="G36">
        <v>402314</v>
      </c>
      <c r="H36">
        <v>315985</v>
      </c>
      <c r="I36">
        <v>1417182</v>
      </c>
      <c r="J36">
        <v>11700099</v>
      </c>
      <c r="K36">
        <v>172.1665261</v>
      </c>
    </row>
    <row r="37" spans="1:11" x14ac:dyDescent="0.25">
      <c r="A37" t="s">
        <v>46</v>
      </c>
      <c r="B37">
        <v>156100370</v>
      </c>
      <c r="C37">
        <v>67305396</v>
      </c>
      <c r="D37">
        <v>61606895</v>
      </c>
      <c r="E37">
        <v>3599987</v>
      </c>
      <c r="F37">
        <v>3041540</v>
      </c>
      <c r="G37">
        <v>2622505</v>
      </c>
      <c r="H37">
        <v>2059418</v>
      </c>
      <c r="I37">
        <v>10358494</v>
      </c>
      <c r="J37">
        <v>100896618</v>
      </c>
      <c r="K37">
        <v>154.7131837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7"/>
  <sheetViews>
    <sheetView tabSelected="1" zoomScale="145" zoomScaleNormal="145" workbookViewId="0">
      <selection activeCell="D2" sqref="D2"/>
    </sheetView>
  </sheetViews>
  <sheetFormatPr defaultRowHeight="13.8" x14ac:dyDescent="0.25"/>
  <cols>
    <col min="1" max="1" width="37.296875" customWidth="1"/>
    <col min="2" max="2" width="23.296875" style="4" customWidth="1"/>
    <col min="3" max="4" width="12.796875" style="4" customWidth="1"/>
    <col min="5" max="8" width="13.796875" style="4" customWidth="1"/>
    <col min="9" max="9" width="17.5" style="4" customWidth="1"/>
    <col min="10" max="10" width="13.3984375" style="4" customWidth="1"/>
    <col min="11" max="11" width="14.8984375" style="1" customWidth="1"/>
    <col min="12" max="12" width="8.796875" style="2"/>
  </cols>
  <sheetData>
    <row r="1" spans="1:12" x14ac:dyDescent="0.25">
      <c r="A1" t="s">
        <v>0</v>
      </c>
      <c r="B1" s="4" t="s">
        <v>1</v>
      </c>
      <c r="C1" s="4" t="s">
        <v>2</v>
      </c>
      <c r="D1" s="4" t="s">
        <v>63</v>
      </c>
      <c r="E1" s="4" t="s">
        <v>4</v>
      </c>
      <c r="F1" s="4" t="s">
        <v>5</v>
      </c>
      <c r="G1" s="4" t="s">
        <v>6</v>
      </c>
      <c r="H1" s="4" t="s">
        <v>7</v>
      </c>
      <c r="I1" s="4" t="s">
        <v>8</v>
      </c>
      <c r="J1" s="4" t="s">
        <v>9</v>
      </c>
      <c r="K1" s="1" t="s">
        <v>10</v>
      </c>
      <c r="L1"/>
    </row>
    <row r="2" spans="1:12" x14ac:dyDescent="0.25">
      <c r="A2" t="s">
        <v>11</v>
      </c>
      <c r="B2" s="4">
        <v>991264</v>
      </c>
      <c r="C2" s="4">
        <v>313284</v>
      </c>
      <c r="D2" s="4">
        <v>320383</v>
      </c>
      <c r="E2" s="4">
        <v>19208</v>
      </c>
      <c r="F2" s="4">
        <v>18860</v>
      </c>
      <c r="G2" s="4">
        <v>15124</v>
      </c>
      <c r="H2" s="4">
        <v>14042</v>
      </c>
      <c r="I2" s="4">
        <v>236936</v>
      </c>
      <c r="J2" s="4">
        <v>399001</v>
      </c>
      <c r="K2" s="3">
        <v>248.43647010000001</v>
      </c>
      <c r="L2"/>
    </row>
    <row r="3" spans="1:12" x14ac:dyDescent="0.25">
      <c r="A3" t="s">
        <v>12</v>
      </c>
      <c r="B3" s="4">
        <v>110957430</v>
      </c>
      <c r="C3" s="4">
        <v>40645695</v>
      </c>
      <c r="D3" s="4">
        <v>43555744</v>
      </c>
      <c r="E3" s="4">
        <v>2535344</v>
      </c>
      <c r="F3" s="4">
        <v>2527613</v>
      </c>
      <c r="G3" s="4">
        <v>1523375</v>
      </c>
      <c r="H3" s="4">
        <v>1495445</v>
      </c>
      <c r="I3" s="4">
        <v>12054868</v>
      </c>
      <c r="J3" s="4">
        <v>91702478</v>
      </c>
      <c r="K3" s="3">
        <v>120.9971992</v>
      </c>
      <c r="L3"/>
    </row>
    <row r="4" spans="1:12" x14ac:dyDescent="0.25">
      <c r="A4" t="s">
        <v>13</v>
      </c>
      <c r="B4" s="4">
        <v>1924584</v>
      </c>
      <c r="C4" s="4">
        <v>861396</v>
      </c>
      <c r="D4" s="4">
        <v>748505</v>
      </c>
      <c r="E4" s="4">
        <v>59100</v>
      </c>
      <c r="F4" s="4">
        <v>44869</v>
      </c>
      <c r="G4" s="4">
        <v>40852</v>
      </c>
      <c r="H4" s="4">
        <v>28445</v>
      </c>
      <c r="I4" s="4">
        <v>81191</v>
      </c>
      <c r="J4" s="4">
        <v>1711947</v>
      </c>
      <c r="K4" s="3">
        <v>112.42077</v>
      </c>
      <c r="L4"/>
    </row>
    <row r="5" spans="1:12" x14ac:dyDescent="0.25">
      <c r="A5" t="s">
        <v>14</v>
      </c>
      <c r="B5" s="4">
        <v>50335778</v>
      </c>
      <c r="C5" s="4">
        <v>22550941</v>
      </c>
      <c r="D5" s="4">
        <v>20575569</v>
      </c>
      <c r="E5" s="4">
        <v>1262520</v>
      </c>
      <c r="F5" s="4">
        <v>972402</v>
      </c>
      <c r="G5" s="4">
        <v>999552</v>
      </c>
      <c r="H5" s="4">
        <v>602283</v>
      </c>
      <c r="I5" s="4">
        <v>2108179</v>
      </c>
      <c r="J5" s="4">
        <v>35998752</v>
      </c>
      <c r="K5" s="3">
        <v>139.82645289999999</v>
      </c>
      <c r="L5"/>
    </row>
    <row r="6" spans="1:12" x14ac:dyDescent="0.25">
      <c r="A6" t="s">
        <v>15</v>
      </c>
      <c r="B6" s="4">
        <v>157293015</v>
      </c>
      <c r="C6" s="4">
        <v>62956601</v>
      </c>
      <c r="D6" s="4">
        <v>59160917</v>
      </c>
      <c r="E6" s="4">
        <v>6240650</v>
      </c>
      <c r="F6" s="4">
        <v>5348480</v>
      </c>
      <c r="G6" s="4">
        <v>4288630</v>
      </c>
      <c r="H6" s="4">
        <v>3403195</v>
      </c>
      <c r="I6" s="4">
        <v>12022637</v>
      </c>
      <c r="J6" s="4">
        <v>128500364</v>
      </c>
      <c r="K6" s="3">
        <v>122.40666880000001</v>
      </c>
      <c r="L6"/>
    </row>
    <row r="7" spans="1:12" x14ac:dyDescent="0.25">
      <c r="A7" t="s">
        <v>16</v>
      </c>
      <c r="B7" s="4">
        <v>2291937</v>
      </c>
      <c r="C7" s="4">
        <v>1090035</v>
      </c>
      <c r="D7" s="4">
        <v>921251</v>
      </c>
      <c r="E7" s="4">
        <v>57708</v>
      </c>
      <c r="F7" s="4">
        <v>43907</v>
      </c>
      <c r="G7" s="4">
        <v>38210</v>
      </c>
      <c r="H7" s="4">
        <v>26050</v>
      </c>
      <c r="I7" s="4">
        <v>51034</v>
      </c>
      <c r="J7" s="4">
        <v>1158040</v>
      </c>
      <c r="K7" s="3">
        <v>197.91518429999999</v>
      </c>
      <c r="L7"/>
    </row>
    <row r="8" spans="1:12" x14ac:dyDescent="0.25">
      <c r="A8" t="s">
        <v>17</v>
      </c>
      <c r="B8" s="4">
        <v>49167939</v>
      </c>
      <c r="C8" s="4">
        <v>18956734</v>
      </c>
      <c r="D8" s="4">
        <v>18537851</v>
      </c>
      <c r="E8" s="4">
        <v>1234990</v>
      </c>
      <c r="F8" s="4">
        <v>1053338</v>
      </c>
      <c r="G8" s="4">
        <v>1076071</v>
      </c>
      <c r="H8" s="4">
        <v>752571</v>
      </c>
      <c r="I8" s="4">
        <v>5750424</v>
      </c>
      <c r="J8" s="4">
        <v>32199722</v>
      </c>
      <c r="K8" s="3">
        <v>152.69678099999999</v>
      </c>
      <c r="L8"/>
    </row>
    <row r="9" spans="1:12" x14ac:dyDescent="0.25">
      <c r="A9" t="s">
        <v>18</v>
      </c>
      <c r="B9" s="4">
        <v>1580060</v>
      </c>
      <c r="C9" s="4">
        <v>730855</v>
      </c>
      <c r="D9" s="4">
        <v>595090</v>
      </c>
      <c r="E9" s="4">
        <v>31509</v>
      </c>
      <c r="F9" s="4">
        <v>26943</v>
      </c>
      <c r="G9" s="4">
        <v>19989</v>
      </c>
      <c r="H9" s="4">
        <v>14929</v>
      </c>
      <c r="I9" s="4">
        <v>138137</v>
      </c>
      <c r="J9" s="4">
        <v>773997</v>
      </c>
      <c r="K9" s="3">
        <v>204.14291009999999</v>
      </c>
      <c r="L9"/>
    </row>
    <row r="10" spans="1:12" x14ac:dyDescent="0.25">
      <c r="A10" t="s">
        <v>19</v>
      </c>
      <c r="B10" s="4">
        <v>37409355</v>
      </c>
      <c r="C10" s="4">
        <v>16605099</v>
      </c>
      <c r="D10" s="4">
        <v>14356077</v>
      </c>
      <c r="E10" s="4">
        <v>1008977</v>
      </c>
      <c r="F10" s="4">
        <v>870793</v>
      </c>
      <c r="G10" s="4">
        <v>683771</v>
      </c>
      <c r="H10" s="4">
        <v>490644</v>
      </c>
      <c r="I10" s="4">
        <v>2337340</v>
      </c>
      <c r="J10" s="4">
        <v>19301096</v>
      </c>
      <c r="K10" s="3">
        <v>193.81984840000001</v>
      </c>
      <c r="L10"/>
    </row>
    <row r="11" spans="1:12" x14ac:dyDescent="0.25">
      <c r="A11" t="s">
        <v>20</v>
      </c>
      <c r="B11" s="4">
        <v>2874477</v>
      </c>
      <c r="C11" s="4">
        <v>1355046</v>
      </c>
      <c r="D11" s="4">
        <v>1224544</v>
      </c>
      <c r="E11" s="4">
        <v>51734</v>
      </c>
      <c r="F11" s="4">
        <v>44551</v>
      </c>
      <c r="G11" s="4">
        <v>33265</v>
      </c>
      <c r="H11" s="4">
        <v>26640</v>
      </c>
      <c r="I11" s="4">
        <v>61965</v>
      </c>
      <c r="J11" s="4">
        <v>1521992</v>
      </c>
      <c r="K11" s="3">
        <v>188.86281930000001</v>
      </c>
      <c r="L11"/>
    </row>
    <row r="12" spans="1:12" x14ac:dyDescent="0.25">
      <c r="A12" t="s">
        <v>21</v>
      </c>
      <c r="B12" s="4">
        <v>128105565</v>
      </c>
      <c r="C12" s="4">
        <v>49324964</v>
      </c>
      <c r="D12" s="4">
        <v>49448078</v>
      </c>
      <c r="E12" s="4">
        <v>3131906</v>
      </c>
      <c r="F12" s="4">
        <v>2906693</v>
      </c>
      <c r="G12" s="4">
        <v>1941624</v>
      </c>
      <c r="H12" s="4">
        <v>1677874</v>
      </c>
      <c r="I12" s="4">
        <v>13702810</v>
      </c>
      <c r="J12" s="4">
        <v>70400153</v>
      </c>
      <c r="K12" s="3">
        <v>181.96773659999999</v>
      </c>
      <c r="L12"/>
    </row>
    <row r="13" spans="1:12" x14ac:dyDescent="0.25">
      <c r="A13" t="s">
        <v>22</v>
      </c>
      <c r="B13" s="4">
        <v>45546800</v>
      </c>
      <c r="C13" s="4">
        <v>21963352</v>
      </c>
      <c r="D13" s="4">
        <v>18749584</v>
      </c>
      <c r="E13" s="4">
        <v>1158529</v>
      </c>
      <c r="F13" s="4">
        <v>771892</v>
      </c>
      <c r="G13" s="4">
        <v>559947</v>
      </c>
      <c r="H13" s="4">
        <v>327809</v>
      </c>
      <c r="I13" s="4">
        <v>1306744</v>
      </c>
      <c r="J13" s="4">
        <v>28900667</v>
      </c>
      <c r="K13" s="3">
        <v>157.59774680000001</v>
      </c>
      <c r="L13"/>
    </row>
    <row r="14" spans="1:12" x14ac:dyDescent="0.25">
      <c r="A14" t="s">
        <v>23</v>
      </c>
      <c r="B14" s="4">
        <v>15325484</v>
      </c>
      <c r="C14" s="4">
        <v>6042660</v>
      </c>
      <c r="D14" s="4">
        <v>5783693</v>
      </c>
      <c r="E14" s="4">
        <v>331826</v>
      </c>
      <c r="F14" s="4">
        <v>309613</v>
      </c>
      <c r="G14" s="4">
        <v>272064</v>
      </c>
      <c r="H14" s="4">
        <v>235002</v>
      </c>
      <c r="I14" s="4">
        <v>1520001</v>
      </c>
      <c r="J14" s="4">
        <v>7503010</v>
      </c>
      <c r="K14" s="3">
        <v>204.25781119999999</v>
      </c>
      <c r="L14"/>
    </row>
    <row r="15" spans="1:12" x14ac:dyDescent="0.25">
      <c r="A15" t="s">
        <v>24</v>
      </c>
      <c r="B15" s="4">
        <v>24782265</v>
      </c>
      <c r="C15" s="4">
        <v>9942707</v>
      </c>
      <c r="D15" s="4">
        <v>10388596</v>
      </c>
      <c r="E15" s="4">
        <v>876049</v>
      </c>
      <c r="F15" s="4">
        <v>861731</v>
      </c>
      <c r="G15" s="4">
        <v>553845</v>
      </c>
      <c r="H15" s="4">
        <v>517818</v>
      </c>
      <c r="I15" s="4">
        <v>965200</v>
      </c>
      <c r="J15" s="4">
        <v>14999397</v>
      </c>
      <c r="K15" s="3">
        <v>165.22174190000001</v>
      </c>
      <c r="L15"/>
    </row>
    <row r="16" spans="1:12" x14ac:dyDescent="0.25">
      <c r="A16" t="s">
        <v>25</v>
      </c>
      <c r="B16" s="4">
        <v>43875944</v>
      </c>
      <c r="C16" s="4">
        <v>21310378</v>
      </c>
      <c r="D16" s="4">
        <v>16112704</v>
      </c>
      <c r="E16" s="4">
        <v>1596112</v>
      </c>
      <c r="F16" s="4">
        <v>1125458</v>
      </c>
      <c r="G16" s="4">
        <v>1062630</v>
      </c>
      <c r="H16" s="4">
        <v>622673</v>
      </c>
      <c r="I16" s="4">
        <v>1371673</v>
      </c>
      <c r="J16" s="4">
        <v>40100376</v>
      </c>
      <c r="K16" s="3">
        <v>109.4152933</v>
      </c>
      <c r="L16"/>
    </row>
    <row r="17" spans="1:12" x14ac:dyDescent="0.25">
      <c r="A17" t="s">
        <v>26</v>
      </c>
      <c r="B17" s="4">
        <v>122152396</v>
      </c>
      <c r="C17" s="4">
        <v>50032922</v>
      </c>
      <c r="D17" s="4">
        <v>50520795</v>
      </c>
      <c r="E17" s="4">
        <v>2816444</v>
      </c>
      <c r="F17" s="4">
        <v>2719866</v>
      </c>
      <c r="G17" s="4">
        <v>2325476</v>
      </c>
      <c r="H17" s="4">
        <v>2151242</v>
      </c>
      <c r="I17" s="4">
        <v>6718023</v>
      </c>
      <c r="J17" s="4">
        <v>69599762</v>
      </c>
      <c r="K17" s="3">
        <v>175.50691620000001</v>
      </c>
      <c r="L17"/>
    </row>
    <row r="18" spans="1:12" x14ac:dyDescent="0.25">
      <c r="A18" t="s">
        <v>27</v>
      </c>
      <c r="B18" s="4">
        <v>57511593</v>
      </c>
      <c r="C18" s="4">
        <v>27017714</v>
      </c>
      <c r="D18" s="4">
        <v>23803189</v>
      </c>
      <c r="E18" s="4">
        <v>1322849</v>
      </c>
      <c r="F18" s="4">
        <v>957271</v>
      </c>
      <c r="G18" s="4">
        <v>810955</v>
      </c>
      <c r="H18" s="4">
        <v>511981</v>
      </c>
      <c r="I18" s="4">
        <v>869095</v>
      </c>
      <c r="J18" s="4">
        <v>34698876</v>
      </c>
      <c r="K18" s="3">
        <v>165.74482990000001</v>
      </c>
      <c r="L18"/>
    </row>
    <row r="19" spans="1:12" x14ac:dyDescent="0.25">
      <c r="A19" t="s">
        <v>28</v>
      </c>
      <c r="B19" s="4">
        <v>567133</v>
      </c>
      <c r="C19" s="4">
        <v>219604</v>
      </c>
      <c r="D19" s="4">
        <v>187095</v>
      </c>
      <c r="E19" s="4">
        <v>10072</v>
      </c>
      <c r="F19" s="4">
        <v>9261</v>
      </c>
      <c r="G19" s="4">
        <v>8627</v>
      </c>
      <c r="H19" s="4">
        <v>7758</v>
      </c>
      <c r="I19" s="4">
        <v>70299</v>
      </c>
      <c r="J19" s="4">
        <v>290492</v>
      </c>
      <c r="K19" s="3">
        <v>195.23188250000001</v>
      </c>
      <c r="L19"/>
    </row>
    <row r="20" spans="1:12" x14ac:dyDescent="0.25">
      <c r="A20" t="s">
        <v>29</v>
      </c>
      <c r="B20" s="4">
        <v>145313</v>
      </c>
      <c r="C20" s="4">
        <v>56914</v>
      </c>
      <c r="D20" s="4">
        <v>56019</v>
      </c>
      <c r="E20" s="4">
        <v>2911</v>
      </c>
      <c r="F20" s="4">
        <v>2782</v>
      </c>
      <c r="G20" s="4">
        <v>1988</v>
      </c>
      <c r="H20" s="4">
        <v>1724</v>
      </c>
      <c r="I20" s="4">
        <v>15990</v>
      </c>
      <c r="J20" s="4">
        <v>66001</v>
      </c>
      <c r="K20" s="3">
        <v>220.16787619999999</v>
      </c>
      <c r="L20"/>
    </row>
    <row r="21" spans="1:12" x14ac:dyDescent="0.25">
      <c r="A21" t="s">
        <v>30</v>
      </c>
      <c r="B21" s="4">
        <v>133940196</v>
      </c>
      <c r="C21" s="4">
        <v>54143863</v>
      </c>
      <c r="D21" s="4">
        <v>54061656</v>
      </c>
      <c r="E21" s="4">
        <v>4194628</v>
      </c>
      <c r="F21" s="4">
        <v>3472824</v>
      </c>
      <c r="G21" s="4">
        <v>2410962</v>
      </c>
      <c r="H21" s="4">
        <v>1698670</v>
      </c>
      <c r="I21" s="4">
        <v>10127768</v>
      </c>
      <c r="J21" s="4">
        <v>85002417</v>
      </c>
      <c r="K21" s="3">
        <v>157.57222060000001</v>
      </c>
      <c r="L21"/>
    </row>
    <row r="22" spans="1:12" x14ac:dyDescent="0.25">
      <c r="A22" t="s">
        <v>31</v>
      </c>
      <c r="B22" s="4">
        <v>177977996</v>
      </c>
      <c r="C22" s="4">
        <v>84665105</v>
      </c>
      <c r="D22" s="4">
        <v>71650189</v>
      </c>
      <c r="E22" s="4">
        <v>4119145</v>
      </c>
      <c r="F22" s="4">
        <v>3108854</v>
      </c>
      <c r="G22" s="4">
        <v>2891273</v>
      </c>
      <c r="H22" s="4">
        <v>1870754</v>
      </c>
      <c r="I22" s="4">
        <v>5188711</v>
      </c>
      <c r="J22" s="4">
        <v>124904071</v>
      </c>
      <c r="K22" s="3">
        <v>142.4917495</v>
      </c>
      <c r="L22"/>
    </row>
    <row r="23" spans="1:12" x14ac:dyDescent="0.25">
      <c r="A23" t="s">
        <v>32</v>
      </c>
      <c r="B23" s="4">
        <v>3269105</v>
      </c>
      <c r="C23" s="4">
        <v>1464399</v>
      </c>
      <c r="D23" s="4">
        <v>1226336</v>
      </c>
      <c r="E23" s="4">
        <v>109652</v>
      </c>
      <c r="F23" s="4">
        <v>68555</v>
      </c>
      <c r="G23" s="4">
        <v>75418</v>
      </c>
      <c r="H23" s="4">
        <v>44329</v>
      </c>
      <c r="I23" s="4">
        <v>115059</v>
      </c>
      <c r="J23" s="4">
        <v>3436948</v>
      </c>
      <c r="K23" s="3">
        <v>95.116510349999999</v>
      </c>
      <c r="L23"/>
    </row>
    <row r="24" spans="1:12" x14ac:dyDescent="0.25">
      <c r="A24" t="s">
        <v>33</v>
      </c>
      <c r="B24" s="4">
        <v>2626010</v>
      </c>
      <c r="C24" s="4">
        <v>1332466</v>
      </c>
      <c r="D24" s="4">
        <v>1025463</v>
      </c>
      <c r="E24" s="4">
        <v>77151</v>
      </c>
      <c r="F24" s="4">
        <v>42858</v>
      </c>
      <c r="G24" s="4">
        <v>37399</v>
      </c>
      <c r="H24" s="4">
        <v>19556</v>
      </c>
      <c r="I24" s="4">
        <v>33391</v>
      </c>
      <c r="J24" s="4">
        <v>3772103</v>
      </c>
      <c r="K24" s="3">
        <v>69.616603789999999</v>
      </c>
      <c r="L24"/>
    </row>
    <row r="25" spans="1:12" x14ac:dyDescent="0.25">
      <c r="A25" t="s">
        <v>34</v>
      </c>
      <c r="B25" s="4">
        <v>1793298</v>
      </c>
      <c r="C25" s="4">
        <v>785860</v>
      </c>
      <c r="D25" s="4">
        <v>669572</v>
      </c>
      <c r="E25" s="4">
        <v>60098</v>
      </c>
      <c r="F25" s="4">
        <v>47010</v>
      </c>
      <c r="G25" s="4">
        <v>48360</v>
      </c>
      <c r="H25" s="4">
        <v>33595</v>
      </c>
      <c r="I25" s="4">
        <v>80888</v>
      </c>
      <c r="J25" s="4">
        <v>1308967</v>
      </c>
      <c r="K25" s="3">
        <v>137.0010092</v>
      </c>
      <c r="L25"/>
    </row>
    <row r="26" spans="1:12" x14ac:dyDescent="0.25">
      <c r="A26" t="s">
        <v>35</v>
      </c>
      <c r="B26" s="4">
        <v>1739837</v>
      </c>
      <c r="C26" s="4">
        <v>837969</v>
      </c>
      <c r="D26" s="4">
        <v>684747</v>
      </c>
      <c r="E26" s="4">
        <v>59974</v>
      </c>
      <c r="F26" s="4">
        <v>40347</v>
      </c>
      <c r="G26" s="4">
        <v>26012</v>
      </c>
      <c r="H26" s="4">
        <v>19889</v>
      </c>
      <c r="I26" s="4">
        <v>26877</v>
      </c>
      <c r="J26" s="4">
        <v>2073074</v>
      </c>
      <c r="K26" s="3">
        <v>83.925465279999997</v>
      </c>
      <c r="L26"/>
    </row>
    <row r="27" spans="1:12" x14ac:dyDescent="0.25">
      <c r="A27" t="s">
        <v>36</v>
      </c>
      <c r="B27" s="4">
        <v>81545960</v>
      </c>
      <c r="C27" s="4">
        <v>31454279</v>
      </c>
      <c r="D27" s="4">
        <v>29961065</v>
      </c>
      <c r="E27" s="4">
        <v>2195563</v>
      </c>
      <c r="F27" s="4">
        <v>1844432</v>
      </c>
      <c r="G27" s="4">
        <v>1601002</v>
      </c>
      <c r="H27" s="4">
        <v>1206692</v>
      </c>
      <c r="I27" s="4">
        <v>10069825</v>
      </c>
      <c r="J27" s="4">
        <v>47099270</v>
      </c>
      <c r="K27" s="3">
        <v>173.13635650000001</v>
      </c>
      <c r="L27"/>
    </row>
    <row r="28" spans="1:12" x14ac:dyDescent="0.25">
      <c r="A28" t="s">
        <v>37</v>
      </c>
      <c r="B28" s="4">
        <v>2274059</v>
      </c>
      <c r="C28" s="4">
        <v>913046</v>
      </c>
      <c r="D28" s="4">
        <v>802234</v>
      </c>
      <c r="E28" s="4">
        <v>50694</v>
      </c>
      <c r="F28" s="4">
        <v>44614</v>
      </c>
      <c r="G28" s="4">
        <v>30873</v>
      </c>
      <c r="H28" s="4">
        <v>21251</v>
      </c>
      <c r="I28" s="4">
        <v>304200</v>
      </c>
      <c r="J28" s="4">
        <v>1646050</v>
      </c>
      <c r="K28" s="3">
        <v>138.15248629999999</v>
      </c>
      <c r="L28"/>
    </row>
    <row r="29" spans="1:12" x14ac:dyDescent="0.25">
      <c r="A29" t="s">
        <v>38</v>
      </c>
      <c r="B29" s="4">
        <v>47051166</v>
      </c>
      <c r="C29" s="4">
        <v>22361633</v>
      </c>
      <c r="D29" s="4">
        <v>19621018</v>
      </c>
      <c r="E29" s="4">
        <v>1117510</v>
      </c>
      <c r="F29" s="4">
        <v>878056</v>
      </c>
      <c r="G29" s="4">
        <v>684148</v>
      </c>
      <c r="H29" s="4">
        <v>497396</v>
      </c>
      <c r="I29" s="4">
        <v>840406</v>
      </c>
      <c r="J29" s="4">
        <v>30501026</v>
      </c>
      <c r="K29" s="3">
        <v>154.26092879999999</v>
      </c>
      <c r="L29"/>
    </row>
    <row r="30" spans="1:12" x14ac:dyDescent="0.25">
      <c r="A30" t="s">
        <v>39</v>
      </c>
      <c r="B30" s="4">
        <v>115721511</v>
      </c>
      <c r="C30" s="4">
        <v>51115413</v>
      </c>
      <c r="D30" s="4">
        <v>46586810</v>
      </c>
      <c r="E30" s="4">
        <v>3576045</v>
      </c>
      <c r="F30" s="4">
        <v>2955043</v>
      </c>
      <c r="G30" s="4">
        <v>2343976</v>
      </c>
      <c r="H30" s="4">
        <v>1496833</v>
      </c>
      <c r="I30" s="4">
        <v>4631834</v>
      </c>
      <c r="J30" s="4">
        <v>79502477</v>
      </c>
      <c r="K30" s="3">
        <v>145.55711389999999</v>
      </c>
      <c r="L30"/>
    </row>
    <row r="31" spans="1:12" x14ac:dyDescent="0.25">
      <c r="A31" t="s">
        <v>40</v>
      </c>
      <c r="B31" s="4">
        <v>1360477</v>
      </c>
      <c r="C31" s="4">
        <v>539929</v>
      </c>
      <c r="D31" s="4">
        <v>509134</v>
      </c>
      <c r="E31" s="4">
        <v>30049</v>
      </c>
      <c r="F31" s="4">
        <v>26515</v>
      </c>
      <c r="G31" s="4">
        <v>21899</v>
      </c>
      <c r="H31" s="4">
        <v>19007</v>
      </c>
      <c r="I31" s="4">
        <v>158301</v>
      </c>
      <c r="J31" s="4">
        <v>658019</v>
      </c>
      <c r="K31" s="3">
        <v>206.75345239999999</v>
      </c>
      <c r="L31"/>
    </row>
    <row r="32" spans="1:12" x14ac:dyDescent="0.25">
      <c r="A32" t="s">
        <v>41</v>
      </c>
      <c r="B32" s="4">
        <v>127533904</v>
      </c>
      <c r="C32" s="4">
        <v>56671366</v>
      </c>
      <c r="D32" s="4">
        <v>53532301</v>
      </c>
      <c r="E32" s="4">
        <v>2627751</v>
      </c>
      <c r="F32" s="4">
        <v>2224043</v>
      </c>
      <c r="G32" s="4">
        <v>1917151</v>
      </c>
      <c r="H32" s="4">
        <v>1465291</v>
      </c>
      <c r="I32" s="4">
        <v>6066180</v>
      </c>
      <c r="J32" s="4">
        <v>83697770</v>
      </c>
      <c r="K32" s="3">
        <v>152.37431530000001</v>
      </c>
      <c r="L32"/>
    </row>
    <row r="33" spans="1:12" x14ac:dyDescent="0.25">
      <c r="A33" t="s">
        <v>42</v>
      </c>
      <c r="B33" s="4">
        <v>77627542</v>
      </c>
      <c r="C33" s="4">
        <v>29616909</v>
      </c>
      <c r="D33" s="4">
        <v>29076857</v>
      </c>
      <c r="E33" s="4">
        <v>1724095</v>
      </c>
      <c r="F33" s="4">
        <v>1582421</v>
      </c>
      <c r="G33" s="4">
        <v>1107824</v>
      </c>
      <c r="H33" s="4">
        <v>906491</v>
      </c>
      <c r="I33" s="4">
        <v>10860254</v>
      </c>
      <c r="J33" s="4">
        <v>38157311</v>
      </c>
      <c r="K33" s="3">
        <v>203.4408085</v>
      </c>
      <c r="L33"/>
    </row>
    <row r="34" spans="1:12" x14ac:dyDescent="0.25">
      <c r="A34" t="s">
        <v>43</v>
      </c>
      <c r="B34" s="4">
        <v>5918997</v>
      </c>
      <c r="C34" s="4">
        <v>2659018</v>
      </c>
      <c r="D34" s="4">
        <v>2328968</v>
      </c>
      <c r="E34" s="4">
        <v>144833</v>
      </c>
      <c r="F34" s="4">
        <v>115278</v>
      </c>
      <c r="G34" s="4">
        <v>112965</v>
      </c>
      <c r="H34" s="4">
        <v>79612</v>
      </c>
      <c r="I34" s="4">
        <v>273061</v>
      </c>
      <c r="J34" s="4">
        <v>4184959</v>
      </c>
      <c r="K34" s="3">
        <v>141.4350057</v>
      </c>
      <c r="L34"/>
    </row>
    <row r="35" spans="1:12" x14ac:dyDescent="0.25">
      <c r="A35" t="s">
        <v>44</v>
      </c>
      <c r="B35" s="4">
        <v>392011174</v>
      </c>
      <c r="C35" s="4">
        <v>154096960</v>
      </c>
      <c r="D35" s="4">
        <v>147866674</v>
      </c>
      <c r="E35" s="4">
        <v>14193665</v>
      </c>
      <c r="F35" s="4">
        <v>13227415</v>
      </c>
      <c r="G35" s="4">
        <v>8709857</v>
      </c>
      <c r="H35" s="4">
        <v>7876085</v>
      </c>
      <c r="I35" s="4">
        <v>36643273</v>
      </c>
      <c r="J35" s="4">
        <v>231502578</v>
      </c>
      <c r="K35" s="3">
        <v>169.33339459999999</v>
      </c>
      <c r="L35"/>
    </row>
    <row r="36" spans="1:12" x14ac:dyDescent="0.25">
      <c r="A36" t="s">
        <v>45</v>
      </c>
      <c r="B36" s="4">
        <v>20143654</v>
      </c>
      <c r="C36" s="4">
        <v>8183361</v>
      </c>
      <c r="D36" s="4">
        <v>7949246</v>
      </c>
      <c r="E36" s="4">
        <v>532982</v>
      </c>
      <c r="F36" s="4">
        <v>467836</v>
      </c>
      <c r="G36" s="4">
        <v>402314</v>
      </c>
      <c r="H36" s="4">
        <v>315985</v>
      </c>
      <c r="I36" s="4">
        <v>1417182</v>
      </c>
      <c r="J36" s="4">
        <v>11700099</v>
      </c>
      <c r="K36" s="3">
        <v>172.1665261</v>
      </c>
      <c r="L36"/>
    </row>
    <row r="37" spans="1:12" x14ac:dyDescent="0.25">
      <c r="A37" t="s">
        <v>46</v>
      </c>
      <c r="B37" s="4">
        <v>156100370</v>
      </c>
      <c r="C37" s="4">
        <v>67305396</v>
      </c>
      <c r="D37" s="4">
        <v>61606895</v>
      </c>
      <c r="E37" s="4">
        <v>3599987</v>
      </c>
      <c r="F37" s="4">
        <v>3041540</v>
      </c>
      <c r="G37" s="4">
        <v>2622505</v>
      </c>
      <c r="H37" s="4">
        <v>2059418</v>
      </c>
      <c r="I37" s="4">
        <v>10358494</v>
      </c>
      <c r="J37" s="4">
        <v>100896618</v>
      </c>
      <c r="K37" s="3">
        <v>154.7131837</v>
      </c>
      <c r="L37"/>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81"/>
  <sheetViews>
    <sheetView zoomScale="40" zoomScaleNormal="40" workbookViewId="0">
      <selection activeCell="J15" sqref="J15"/>
    </sheetView>
  </sheetViews>
  <sheetFormatPr defaultRowHeight="13.8" x14ac:dyDescent="0.25"/>
  <cols>
    <col min="1" max="1" width="28.8984375" bestFit="1" customWidth="1"/>
    <col min="2" max="2" width="21.8984375" customWidth="1"/>
    <col min="3" max="3" width="37.8984375" bestFit="1" customWidth="1"/>
    <col min="4" max="4" width="16.09765625" bestFit="1" customWidth="1"/>
    <col min="5" max="5" width="16.8984375" bestFit="1" customWidth="1"/>
    <col min="7" max="7" width="37.8984375" bestFit="1" customWidth="1"/>
    <col min="8" max="8" width="25.09765625" bestFit="1" customWidth="1"/>
  </cols>
  <sheetData>
    <row r="3" spans="1:8" x14ac:dyDescent="0.25">
      <c r="A3" t="s">
        <v>47</v>
      </c>
      <c r="C3" s="6" t="s">
        <v>54</v>
      </c>
      <c r="D3" t="s">
        <v>48</v>
      </c>
      <c r="G3" s="6" t="s">
        <v>54</v>
      </c>
      <c r="H3" t="s">
        <v>56</v>
      </c>
    </row>
    <row r="4" spans="1:8" x14ac:dyDescent="0.25">
      <c r="A4" s="5">
        <v>36</v>
      </c>
      <c r="C4" s="8" t="s">
        <v>11</v>
      </c>
      <c r="D4" s="5">
        <v>991264</v>
      </c>
      <c r="G4" s="8" t="s">
        <v>11</v>
      </c>
      <c r="H4" s="4">
        <v>248.43647010000001</v>
      </c>
    </row>
    <row r="5" spans="1:8" x14ac:dyDescent="0.25">
      <c r="C5" s="8" t="s">
        <v>12</v>
      </c>
      <c r="D5" s="5">
        <v>110957430</v>
      </c>
      <c r="G5" s="8" t="s">
        <v>12</v>
      </c>
      <c r="H5" s="4">
        <v>120.9971992</v>
      </c>
    </row>
    <row r="6" spans="1:8" x14ac:dyDescent="0.25">
      <c r="A6" t="s">
        <v>48</v>
      </c>
      <c r="C6" s="8" t="s">
        <v>13</v>
      </c>
      <c r="D6" s="5">
        <v>1924584</v>
      </c>
      <c r="G6" s="8" t="s">
        <v>13</v>
      </c>
      <c r="H6" s="4">
        <v>112.42077</v>
      </c>
    </row>
    <row r="7" spans="1:8" x14ac:dyDescent="0.25">
      <c r="A7" s="7">
        <v>2201473588</v>
      </c>
      <c r="C7" s="8" t="s">
        <v>14</v>
      </c>
      <c r="D7" s="5">
        <v>50335778</v>
      </c>
      <c r="G7" s="8" t="s">
        <v>14</v>
      </c>
      <c r="H7" s="4">
        <v>139.82645289999999</v>
      </c>
    </row>
    <row r="8" spans="1:8" x14ac:dyDescent="0.25">
      <c r="C8" s="8" t="s">
        <v>15</v>
      </c>
      <c r="D8" s="5">
        <v>157293015</v>
      </c>
      <c r="G8" s="8" t="s">
        <v>15</v>
      </c>
      <c r="H8" s="4">
        <v>122.40666880000001</v>
      </c>
    </row>
    <row r="9" spans="1:8" x14ac:dyDescent="0.25">
      <c r="A9" t="s">
        <v>50</v>
      </c>
      <c r="C9" s="8" t="s">
        <v>16</v>
      </c>
      <c r="D9" s="5">
        <v>2291937</v>
      </c>
      <c r="G9" s="8" t="s">
        <v>16</v>
      </c>
      <c r="H9" s="4">
        <v>197.91518429999999</v>
      </c>
    </row>
    <row r="10" spans="1:8" x14ac:dyDescent="0.25">
      <c r="A10" s="7">
        <v>1429869880</v>
      </c>
      <c r="C10" s="8" t="s">
        <v>17</v>
      </c>
      <c r="D10" s="5">
        <v>49167939</v>
      </c>
      <c r="G10" s="8" t="s">
        <v>17</v>
      </c>
      <c r="H10" s="4">
        <v>152.69678099999999</v>
      </c>
    </row>
    <row r="11" spans="1:8" x14ac:dyDescent="0.25">
      <c r="A11" s="2"/>
      <c r="C11" s="8" t="s">
        <v>18</v>
      </c>
      <c r="D11" s="5">
        <v>1580060</v>
      </c>
      <c r="G11" s="8" t="s">
        <v>18</v>
      </c>
      <c r="H11" s="4">
        <v>204.14291009999999</v>
      </c>
    </row>
    <row r="12" spans="1:8" x14ac:dyDescent="0.25">
      <c r="A12" t="s">
        <v>51</v>
      </c>
      <c r="C12" s="8" t="s">
        <v>19</v>
      </c>
      <c r="D12" s="5">
        <v>37409355</v>
      </c>
      <c r="G12" s="8" t="s">
        <v>19</v>
      </c>
      <c r="H12" s="4">
        <v>193.81984840000001</v>
      </c>
    </row>
    <row r="13" spans="1:8" x14ac:dyDescent="0.25">
      <c r="A13" s="7">
        <v>920123873</v>
      </c>
      <c r="C13" s="8" t="s">
        <v>20</v>
      </c>
      <c r="D13" s="5">
        <v>2874477</v>
      </c>
      <c r="G13" s="8" t="s">
        <v>20</v>
      </c>
      <c r="H13" s="4">
        <v>188.86281930000001</v>
      </c>
    </row>
    <row r="14" spans="1:8" x14ac:dyDescent="0.25">
      <c r="C14" s="8" t="s">
        <v>21</v>
      </c>
      <c r="D14" s="5">
        <v>128105565</v>
      </c>
      <c r="G14" s="8" t="s">
        <v>21</v>
      </c>
      <c r="H14" s="4">
        <v>181.96773659999999</v>
      </c>
    </row>
    <row r="15" spans="1:8" x14ac:dyDescent="0.25">
      <c r="A15" t="s">
        <v>52</v>
      </c>
      <c r="C15" s="8" t="s">
        <v>22</v>
      </c>
      <c r="D15" s="5">
        <v>45546800</v>
      </c>
      <c r="G15" s="8" t="s">
        <v>22</v>
      </c>
      <c r="H15" s="4">
        <v>157.59774680000001</v>
      </c>
    </row>
    <row r="16" spans="1:8" x14ac:dyDescent="0.25">
      <c r="A16" s="7">
        <v>864204849</v>
      </c>
      <c r="C16" s="8" t="s">
        <v>23</v>
      </c>
      <c r="D16" s="5">
        <v>15325484</v>
      </c>
      <c r="G16" s="8" t="s">
        <v>23</v>
      </c>
      <c r="H16" s="4">
        <v>204.25781119999999</v>
      </c>
    </row>
    <row r="17" spans="1:8" x14ac:dyDescent="0.25">
      <c r="C17" s="8" t="s">
        <v>24</v>
      </c>
      <c r="D17" s="5">
        <v>24782265</v>
      </c>
      <c r="G17" s="8" t="s">
        <v>24</v>
      </c>
      <c r="H17" s="4">
        <v>165.22174190000001</v>
      </c>
    </row>
    <row r="18" spans="1:8" x14ac:dyDescent="0.25">
      <c r="A18" t="s">
        <v>53</v>
      </c>
      <c r="C18" s="8" t="s">
        <v>25</v>
      </c>
      <c r="D18" s="5">
        <v>43875944</v>
      </c>
      <c r="G18" s="8" t="s">
        <v>25</v>
      </c>
      <c r="H18" s="4">
        <v>109.4152933</v>
      </c>
    </row>
    <row r="19" spans="1:8" x14ac:dyDescent="0.25">
      <c r="A19" s="7">
        <v>158578250</v>
      </c>
      <c r="C19" s="8" t="s">
        <v>26</v>
      </c>
      <c r="D19" s="5">
        <v>122152396</v>
      </c>
      <c r="G19" s="8" t="s">
        <v>26</v>
      </c>
      <c r="H19" s="4">
        <v>175.50691620000001</v>
      </c>
    </row>
    <row r="20" spans="1:8" x14ac:dyDescent="0.25">
      <c r="C20" s="8" t="s">
        <v>27</v>
      </c>
      <c r="D20" s="5">
        <v>57511593</v>
      </c>
      <c r="G20" s="8" t="s">
        <v>27</v>
      </c>
      <c r="H20" s="4">
        <v>165.74482990000001</v>
      </c>
    </row>
    <row r="21" spans="1:8" x14ac:dyDescent="0.25">
      <c r="C21" s="8" t="s">
        <v>28</v>
      </c>
      <c r="D21" s="5">
        <v>567133</v>
      </c>
      <c r="G21" s="8" t="s">
        <v>28</v>
      </c>
      <c r="H21" s="4">
        <v>195.23188250000001</v>
      </c>
    </row>
    <row r="22" spans="1:8" x14ac:dyDescent="0.25">
      <c r="C22" s="8" t="s">
        <v>29</v>
      </c>
      <c r="D22" s="5">
        <v>145313</v>
      </c>
      <c r="G22" s="8" t="s">
        <v>29</v>
      </c>
      <c r="H22" s="4">
        <v>220.16787619999999</v>
      </c>
    </row>
    <row r="23" spans="1:8" x14ac:dyDescent="0.25">
      <c r="C23" s="8" t="s">
        <v>30</v>
      </c>
      <c r="D23" s="5">
        <v>133940196</v>
      </c>
      <c r="G23" s="8" t="s">
        <v>30</v>
      </c>
      <c r="H23" s="4">
        <v>157.57222060000001</v>
      </c>
    </row>
    <row r="24" spans="1:8" x14ac:dyDescent="0.25">
      <c r="A24" t="str">
        <f>ROUND(A7/10000000,1)&amp;" Cr"</f>
        <v>220.1 Cr</v>
      </c>
      <c r="C24" s="8" t="s">
        <v>31</v>
      </c>
      <c r="D24" s="5">
        <v>177977996</v>
      </c>
      <c r="G24" s="8" t="s">
        <v>31</v>
      </c>
      <c r="H24" s="4">
        <v>142.4917495</v>
      </c>
    </row>
    <row r="25" spans="1:8" x14ac:dyDescent="0.25">
      <c r="A25" t="str">
        <f>ROUND(A10/10000000,1)&amp;" Cr"</f>
        <v>143 Cr</v>
      </c>
      <c r="C25" s="8" t="s">
        <v>32</v>
      </c>
      <c r="D25" s="5">
        <v>3269105</v>
      </c>
      <c r="G25" s="8" t="s">
        <v>32</v>
      </c>
      <c r="H25" s="4">
        <v>95.116510349999999</v>
      </c>
    </row>
    <row r="26" spans="1:8" x14ac:dyDescent="0.25">
      <c r="A26" t="str">
        <f>ROUND(A13/10000000,1)&amp;" Cr"</f>
        <v>92 Cr</v>
      </c>
      <c r="C26" s="8" t="s">
        <v>33</v>
      </c>
      <c r="D26" s="5">
        <v>2626010</v>
      </c>
      <c r="G26" s="8" t="s">
        <v>33</v>
      </c>
      <c r="H26" s="4">
        <v>69.616603789999999</v>
      </c>
    </row>
    <row r="27" spans="1:8" x14ac:dyDescent="0.25">
      <c r="A27" t="str">
        <f>ROUND(A16/10000000,1)&amp;" Cr"</f>
        <v>86.4 Cr</v>
      </c>
      <c r="C27" s="8" t="s">
        <v>34</v>
      </c>
      <c r="D27" s="5">
        <v>1793298</v>
      </c>
      <c r="G27" s="8" t="s">
        <v>34</v>
      </c>
      <c r="H27" s="4">
        <v>137.0010092</v>
      </c>
    </row>
    <row r="28" spans="1:8" x14ac:dyDescent="0.25">
      <c r="A28" t="str">
        <f>ROUND(A19/10000000,1)&amp;" Cr"</f>
        <v>15.9 Cr</v>
      </c>
      <c r="C28" s="8" t="s">
        <v>35</v>
      </c>
      <c r="D28" s="5">
        <v>1739837</v>
      </c>
      <c r="G28" s="8" t="s">
        <v>35</v>
      </c>
      <c r="H28" s="4">
        <v>83.925465279999997</v>
      </c>
    </row>
    <row r="29" spans="1:8" x14ac:dyDescent="0.25">
      <c r="C29" s="8" t="s">
        <v>36</v>
      </c>
      <c r="D29" s="5">
        <v>81545960</v>
      </c>
      <c r="G29" s="8" t="s">
        <v>36</v>
      </c>
      <c r="H29" s="4">
        <v>173.13635650000001</v>
      </c>
    </row>
    <row r="30" spans="1:8" x14ac:dyDescent="0.25">
      <c r="C30" s="8" t="s">
        <v>37</v>
      </c>
      <c r="D30" s="5">
        <v>2274059</v>
      </c>
      <c r="G30" s="8" t="s">
        <v>37</v>
      </c>
      <c r="H30" s="4">
        <v>138.15248629999999</v>
      </c>
    </row>
    <row r="31" spans="1:8" x14ac:dyDescent="0.25">
      <c r="C31" s="8" t="s">
        <v>38</v>
      </c>
      <c r="D31" s="5">
        <v>47051166</v>
      </c>
      <c r="G31" s="8" t="s">
        <v>38</v>
      </c>
      <c r="H31" s="4">
        <v>154.26092879999999</v>
      </c>
    </row>
    <row r="32" spans="1:8" x14ac:dyDescent="0.25">
      <c r="C32" s="8" t="s">
        <v>39</v>
      </c>
      <c r="D32" s="5">
        <v>115721511</v>
      </c>
      <c r="G32" s="8" t="s">
        <v>39</v>
      </c>
      <c r="H32" s="4">
        <v>145.55711389999999</v>
      </c>
    </row>
    <row r="33" spans="3:8" x14ac:dyDescent="0.25">
      <c r="C33" s="8" t="s">
        <v>40</v>
      </c>
      <c r="D33" s="5">
        <v>1360477</v>
      </c>
      <c r="G33" s="8" t="s">
        <v>40</v>
      </c>
      <c r="H33" s="4">
        <v>206.75345239999999</v>
      </c>
    </row>
    <row r="34" spans="3:8" x14ac:dyDescent="0.25">
      <c r="C34" s="8" t="s">
        <v>41</v>
      </c>
      <c r="D34" s="5">
        <v>127533904</v>
      </c>
      <c r="G34" s="8" t="s">
        <v>41</v>
      </c>
      <c r="H34" s="4">
        <v>152.37431530000001</v>
      </c>
    </row>
    <row r="35" spans="3:8" x14ac:dyDescent="0.25">
      <c r="C35" s="8" t="s">
        <v>42</v>
      </c>
      <c r="D35" s="5">
        <v>77627542</v>
      </c>
      <c r="G35" s="8" t="s">
        <v>42</v>
      </c>
      <c r="H35" s="4">
        <v>203.4408085</v>
      </c>
    </row>
    <row r="36" spans="3:8" x14ac:dyDescent="0.25">
      <c r="C36" s="8" t="s">
        <v>43</v>
      </c>
      <c r="D36" s="5">
        <v>5918997</v>
      </c>
      <c r="G36" s="8" t="s">
        <v>43</v>
      </c>
      <c r="H36" s="4">
        <v>141.4350057</v>
      </c>
    </row>
    <row r="37" spans="3:8" x14ac:dyDescent="0.25">
      <c r="C37" s="8" t="s">
        <v>44</v>
      </c>
      <c r="D37" s="5">
        <v>392011174</v>
      </c>
      <c r="G37" s="8" t="s">
        <v>44</v>
      </c>
      <c r="H37" s="4">
        <v>169.33339459999999</v>
      </c>
    </row>
    <row r="38" spans="3:8" x14ac:dyDescent="0.25">
      <c r="C38" s="8" t="s">
        <v>45</v>
      </c>
      <c r="D38" s="5">
        <v>20143654</v>
      </c>
      <c r="G38" s="8" t="s">
        <v>45</v>
      </c>
      <c r="H38" s="4">
        <v>172.1665261</v>
      </c>
    </row>
    <row r="39" spans="3:8" x14ac:dyDescent="0.25">
      <c r="C39" s="8" t="s">
        <v>46</v>
      </c>
      <c r="D39" s="5">
        <v>156100370</v>
      </c>
      <c r="G39" s="8" t="s">
        <v>46</v>
      </c>
      <c r="H39" s="4">
        <v>154.7131837</v>
      </c>
    </row>
    <row r="40" spans="3:8" x14ac:dyDescent="0.25">
      <c r="C40" s="8" t="s">
        <v>55</v>
      </c>
      <c r="D40" s="5">
        <v>2201473588</v>
      </c>
      <c r="G40" s="8" t="s">
        <v>55</v>
      </c>
      <c r="H40" s="4">
        <v>5753.6840692200012</v>
      </c>
    </row>
    <row r="42" spans="3:8" x14ac:dyDescent="0.25">
      <c r="C42" s="6" t="s">
        <v>54</v>
      </c>
      <c r="D42" t="s">
        <v>51</v>
      </c>
      <c r="E42" t="s">
        <v>52</v>
      </c>
    </row>
    <row r="43" spans="3:8" x14ac:dyDescent="0.25">
      <c r="C43" s="8" t="s">
        <v>11</v>
      </c>
      <c r="D43" s="5">
        <v>313284</v>
      </c>
      <c r="E43" s="5">
        <v>320383</v>
      </c>
    </row>
    <row r="44" spans="3:8" x14ac:dyDescent="0.25">
      <c r="C44" s="8" t="s">
        <v>12</v>
      </c>
      <c r="D44" s="5">
        <v>40645695</v>
      </c>
      <c r="E44" s="5">
        <v>43555744</v>
      </c>
      <c r="G44" s="6" t="s">
        <v>54</v>
      </c>
      <c r="H44" t="s">
        <v>49</v>
      </c>
    </row>
    <row r="45" spans="3:8" x14ac:dyDescent="0.25">
      <c r="C45" s="8" t="s">
        <v>13</v>
      </c>
      <c r="D45" s="5">
        <v>861396</v>
      </c>
      <c r="E45" s="5">
        <v>748505</v>
      </c>
      <c r="G45" s="8" t="s">
        <v>11</v>
      </c>
      <c r="H45" s="5">
        <v>399001</v>
      </c>
    </row>
    <row r="46" spans="3:8" x14ac:dyDescent="0.25">
      <c r="C46" s="8" t="s">
        <v>14</v>
      </c>
      <c r="D46" s="5">
        <v>22550941</v>
      </c>
      <c r="E46" s="5">
        <v>20575569</v>
      </c>
      <c r="G46" s="8" t="s">
        <v>12</v>
      </c>
      <c r="H46" s="5">
        <v>91702478</v>
      </c>
    </row>
    <row r="47" spans="3:8" x14ac:dyDescent="0.25">
      <c r="C47" s="8" t="s">
        <v>15</v>
      </c>
      <c r="D47" s="5">
        <v>62956601</v>
      </c>
      <c r="E47" s="5">
        <v>59160917</v>
      </c>
      <c r="G47" s="8" t="s">
        <v>13</v>
      </c>
      <c r="H47" s="5">
        <v>1711947</v>
      </c>
    </row>
    <row r="48" spans="3:8" x14ac:dyDescent="0.25">
      <c r="C48" s="8" t="s">
        <v>16</v>
      </c>
      <c r="D48" s="5">
        <v>1090035</v>
      </c>
      <c r="E48" s="5">
        <v>921251</v>
      </c>
      <c r="G48" s="8" t="s">
        <v>14</v>
      </c>
      <c r="H48" s="5">
        <v>35998752</v>
      </c>
    </row>
    <row r="49" spans="3:8" x14ac:dyDescent="0.25">
      <c r="C49" s="8" t="s">
        <v>17</v>
      </c>
      <c r="D49" s="5">
        <v>18956734</v>
      </c>
      <c r="E49" s="5">
        <v>18537851</v>
      </c>
      <c r="G49" s="8" t="s">
        <v>15</v>
      </c>
      <c r="H49" s="5">
        <v>128500364</v>
      </c>
    </row>
    <row r="50" spans="3:8" x14ac:dyDescent="0.25">
      <c r="C50" s="8" t="s">
        <v>18</v>
      </c>
      <c r="D50" s="5">
        <v>730855</v>
      </c>
      <c r="E50" s="5">
        <v>595090</v>
      </c>
      <c r="G50" s="8" t="s">
        <v>16</v>
      </c>
      <c r="H50" s="5">
        <v>1158040</v>
      </c>
    </row>
    <row r="51" spans="3:8" x14ac:dyDescent="0.25">
      <c r="C51" s="8" t="s">
        <v>19</v>
      </c>
      <c r="D51" s="5">
        <v>16605099</v>
      </c>
      <c r="E51" s="5">
        <v>14356077</v>
      </c>
      <c r="G51" s="8" t="s">
        <v>17</v>
      </c>
      <c r="H51" s="5">
        <v>32199722</v>
      </c>
    </row>
    <row r="52" spans="3:8" x14ac:dyDescent="0.25">
      <c r="C52" s="8" t="s">
        <v>20</v>
      </c>
      <c r="D52" s="5">
        <v>1355046</v>
      </c>
      <c r="E52" s="5">
        <v>1224544</v>
      </c>
      <c r="G52" s="8" t="s">
        <v>18</v>
      </c>
      <c r="H52" s="5">
        <v>773997</v>
      </c>
    </row>
    <row r="53" spans="3:8" x14ac:dyDescent="0.25">
      <c r="C53" s="8" t="s">
        <v>21</v>
      </c>
      <c r="D53" s="5">
        <v>49324964</v>
      </c>
      <c r="E53" s="5">
        <v>49448078</v>
      </c>
      <c r="G53" s="8" t="s">
        <v>19</v>
      </c>
      <c r="H53" s="5">
        <v>19301096</v>
      </c>
    </row>
    <row r="54" spans="3:8" x14ac:dyDescent="0.25">
      <c r="C54" s="8" t="s">
        <v>22</v>
      </c>
      <c r="D54" s="5">
        <v>21963352</v>
      </c>
      <c r="E54" s="5">
        <v>18749584</v>
      </c>
      <c r="G54" s="8" t="s">
        <v>20</v>
      </c>
      <c r="H54" s="5">
        <v>1521992</v>
      </c>
    </row>
    <row r="55" spans="3:8" x14ac:dyDescent="0.25">
      <c r="C55" s="8" t="s">
        <v>23</v>
      </c>
      <c r="D55" s="5">
        <v>6042660</v>
      </c>
      <c r="E55" s="5">
        <v>5783693</v>
      </c>
      <c r="G55" s="8" t="s">
        <v>21</v>
      </c>
      <c r="H55" s="5">
        <v>70400153</v>
      </c>
    </row>
    <row r="56" spans="3:8" x14ac:dyDescent="0.25">
      <c r="C56" s="8" t="s">
        <v>24</v>
      </c>
      <c r="D56" s="5">
        <v>9942707</v>
      </c>
      <c r="E56" s="5">
        <v>10388596</v>
      </c>
      <c r="G56" s="8" t="s">
        <v>22</v>
      </c>
      <c r="H56" s="5">
        <v>28900667</v>
      </c>
    </row>
    <row r="57" spans="3:8" x14ac:dyDescent="0.25">
      <c r="C57" s="8" t="s">
        <v>25</v>
      </c>
      <c r="D57" s="5">
        <v>21310378</v>
      </c>
      <c r="E57" s="5">
        <v>16112704</v>
      </c>
      <c r="G57" s="8" t="s">
        <v>23</v>
      </c>
      <c r="H57" s="5">
        <v>7503010</v>
      </c>
    </row>
    <row r="58" spans="3:8" x14ac:dyDescent="0.25">
      <c r="C58" s="8" t="s">
        <v>26</v>
      </c>
      <c r="D58" s="5">
        <v>50032922</v>
      </c>
      <c r="E58" s="5">
        <v>50520795</v>
      </c>
      <c r="G58" s="8" t="s">
        <v>24</v>
      </c>
      <c r="H58" s="5">
        <v>14999397</v>
      </c>
    </row>
    <row r="59" spans="3:8" x14ac:dyDescent="0.25">
      <c r="C59" s="8" t="s">
        <v>27</v>
      </c>
      <c r="D59" s="5">
        <v>27017714</v>
      </c>
      <c r="E59" s="5">
        <v>23803189</v>
      </c>
      <c r="G59" s="8" t="s">
        <v>25</v>
      </c>
      <c r="H59" s="5">
        <v>40100376</v>
      </c>
    </row>
    <row r="60" spans="3:8" x14ac:dyDescent="0.25">
      <c r="C60" s="8" t="s">
        <v>28</v>
      </c>
      <c r="D60" s="5">
        <v>219604</v>
      </c>
      <c r="E60" s="5">
        <v>187095</v>
      </c>
      <c r="G60" s="8" t="s">
        <v>26</v>
      </c>
      <c r="H60" s="5">
        <v>69599762</v>
      </c>
    </row>
    <row r="61" spans="3:8" x14ac:dyDescent="0.25">
      <c r="C61" s="8" t="s">
        <v>29</v>
      </c>
      <c r="D61" s="5">
        <v>56914</v>
      </c>
      <c r="E61" s="5">
        <v>56019</v>
      </c>
      <c r="G61" s="8" t="s">
        <v>27</v>
      </c>
      <c r="H61" s="5">
        <v>34698876</v>
      </c>
    </row>
    <row r="62" spans="3:8" x14ac:dyDescent="0.25">
      <c r="C62" s="8" t="s">
        <v>30</v>
      </c>
      <c r="D62" s="5">
        <v>54143863</v>
      </c>
      <c r="E62" s="5">
        <v>54061656</v>
      </c>
      <c r="G62" s="8" t="s">
        <v>28</v>
      </c>
      <c r="H62" s="5">
        <v>290492</v>
      </c>
    </row>
    <row r="63" spans="3:8" x14ac:dyDescent="0.25">
      <c r="C63" s="8" t="s">
        <v>31</v>
      </c>
      <c r="D63" s="5">
        <v>84665105</v>
      </c>
      <c r="E63" s="5">
        <v>71650189</v>
      </c>
      <c r="G63" s="8" t="s">
        <v>29</v>
      </c>
      <c r="H63" s="5">
        <v>66001</v>
      </c>
    </row>
    <row r="64" spans="3:8" x14ac:dyDescent="0.25">
      <c r="C64" s="8" t="s">
        <v>32</v>
      </c>
      <c r="D64" s="5">
        <v>1464399</v>
      </c>
      <c r="E64" s="5">
        <v>1226336</v>
      </c>
      <c r="G64" s="8" t="s">
        <v>30</v>
      </c>
      <c r="H64" s="5">
        <v>85002417</v>
      </c>
    </row>
    <row r="65" spans="3:8" x14ac:dyDescent="0.25">
      <c r="C65" s="8" t="s">
        <v>33</v>
      </c>
      <c r="D65" s="5">
        <v>1332466</v>
      </c>
      <c r="E65" s="5">
        <v>1025463</v>
      </c>
      <c r="G65" s="8" t="s">
        <v>31</v>
      </c>
      <c r="H65" s="5">
        <v>124904071</v>
      </c>
    </row>
    <row r="66" spans="3:8" x14ac:dyDescent="0.25">
      <c r="C66" s="8" t="s">
        <v>34</v>
      </c>
      <c r="D66" s="5">
        <v>785860</v>
      </c>
      <c r="E66" s="5">
        <v>669572</v>
      </c>
      <c r="G66" s="8" t="s">
        <v>32</v>
      </c>
      <c r="H66" s="5">
        <v>3436948</v>
      </c>
    </row>
    <row r="67" spans="3:8" x14ac:dyDescent="0.25">
      <c r="C67" s="8" t="s">
        <v>35</v>
      </c>
      <c r="D67" s="5">
        <v>837969</v>
      </c>
      <c r="E67" s="5">
        <v>684747</v>
      </c>
      <c r="G67" s="8" t="s">
        <v>33</v>
      </c>
      <c r="H67" s="5">
        <v>3772103</v>
      </c>
    </row>
    <row r="68" spans="3:8" x14ac:dyDescent="0.25">
      <c r="C68" s="8" t="s">
        <v>36</v>
      </c>
      <c r="D68" s="5">
        <v>31454279</v>
      </c>
      <c r="E68" s="5">
        <v>29961065</v>
      </c>
      <c r="G68" s="8" t="s">
        <v>34</v>
      </c>
      <c r="H68" s="5">
        <v>1308967</v>
      </c>
    </row>
    <row r="69" spans="3:8" x14ac:dyDescent="0.25">
      <c r="C69" s="8" t="s">
        <v>37</v>
      </c>
      <c r="D69" s="5">
        <v>913046</v>
      </c>
      <c r="E69" s="5">
        <v>802234</v>
      </c>
      <c r="G69" s="8" t="s">
        <v>35</v>
      </c>
      <c r="H69" s="5">
        <v>2073074</v>
      </c>
    </row>
    <row r="70" spans="3:8" x14ac:dyDescent="0.25">
      <c r="C70" s="8" t="s">
        <v>38</v>
      </c>
      <c r="D70" s="5">
        <v>22361633</v>
      </c>
      <c r="E70" s="5">
        <v>19621018</v>
      </c>
      <c r="G70" s="8" t="s">
        <v>36</v>
      </c>
      <c r="H70" s="5">
        <v>47099270</v>
      </c>
    </row>
    <row r="71" spans="3:8" x14ac:dyDescent="0.25">
      <c r="C71" s="8" t="s">
        <v>39</v>
      </c>
      <c r="D71" s="5">
        <v>51115413</v>
      </c>
      <c r="E71" s="5">
        <v>46586810</v>
      </c>
      <c r="G71" s="8" t="s">
        <v>37</v>
      </c>
      <c r="H71" s="5">
        <v>1646050</v>
      </c>
    </row>
    <row r="72" spans="3:8" x14ac:dyDescent="0.25">
      <c r="C72" s="8" t="s">
        <v>40</v>
      </c>
      <c r="D72" s="5">
        <v>539929</v>
      </c>
      <c r="E72" s="5">
        <v>509134</v>
      </c>
      <c r="G72" s="8" t="s">
        <v>38</v>
      </c>
      <c r="H72" s="5">
        <v>30501026</v>
      </c>
    </row>
    <row r="73" spans="3:8" x14ac:dyDescent="0.25">
      <c r="C73" s="8" t="s">
        <v>41</v>
      </c>
      <c r="D73" s="5">
        <v>56671366</v>
      </c>
      <c r="E73" s="5">
        <v>53532301</v>
      </c>
      <c r="G73" s="8" t="s">
        <v>39</v>
      </c>
      <c r="H73" s="5">
        <v>79502477</v>
      </c>
    </row>
    <row r="74" spans="3:8" x14ac:dyDescent="0.25">
      <c r="C74" s="8" t="s">
        <v>42</v>
      </c>
      <c r="D74" s="5">
        <v>29616909</v>
      </c>
      <c r="E74" s="5">
        <v>29076857</v>
      </c>
      <c r="G74" s="8" t="s">
        <v>40</v>
      </c>
      <c r="H74" s="5">
        <v>658019</v>
      </c>
    </row>
    <row r="75" spans="3:8" x14ac:dyDescent="0.25">
      <c r="C75" s="8" t="s">
        <v>43</v>
      </c>
      <c r="D75" s="5">
        <v>2659018</v>
      </c>
      <c r="E75" s="5">
        <v>2328968</v>
      </c>
      <c r="G75" s="8" t="s">
        <v>41</v>
      </c>
      <c r="H75" s="5">
        <v>83697770</v>
      </c>
    </row>
    <row r="76" spans="3:8" x14ac:dyDescent="0.25">
      <c r="C76" s="8" t="s">
        <v>44</v>
      </c>
      <c r="D76" s="5">
        <v>154096960</v>
      </c>
      <c r="E76" s="5">
        <v>147866674</v>
      </c>
      <c r="G76" s="8" t="s">
        <v>42</v>
      </c>
      <c r="H76" s="5">
        <v>38157311</v>
      </c>
    </row>
    <row r="77" spans="3:8" x14ac:dyDescent="0.25">
      <c r="C77" s="8" t="s">
        <v>45</v>
      </c>
      <c r="D77" s="5">
        <v>8183361</v>
      </c>
      <c r="E77" s="5">
        <v>7949246</v>
      </c>
      <c r="G77" s="8" t="s">
        <v>43</v>
      </c>
      <c r="H77" s="5">
        <v>4184959</v>
      </c>
    </row>
    <row r="78" spans="3:8" x14ac:dyDescent="0.25">
      <c r="C78" s="8" t="s">
        <v>46</v>
      </c>
      <c r="D78" s="5">
        <v>67305396</v>
      </c>
      <c r="E78" s="5">
        <v>61606895</v>
      </c>
      <c r="G78" s="8" t="s">
        <v>44</v>
      </c>
      <c r="H78" s="5">
        <v>231502578</v>
      </c>
    </row>
    <row r="79" spans="3:8" x14ac:dyDescent="0.25">
      <c r="C79" s="8" t="s">
        <v>55</v>
      </c>
      <c r="D79" s="5">
        <v>920123873</v>
      </c>
      <c r="E79" s="5">
        <v>864204849</v>
      </c>
      <c r="G79" s="8" t="s">
        <v>45</v>
      </c>
      <c r="H79" s="5">
        <v>11700099</v>
      </c>
    </row>
    <row r="80" spans="3:8" x14ac:dyDescent="0.25">
      <c r="G80" s="8" t="s">
        <v>46</v>
      </c>
      <c r="H80" s="5">
        <v>100896618</v>
      </c>
    </row>
    <row r="81" spans="7:8" x14ac:dyDescent="0.25">
      <c r="G81" s="8" t="s">
        <v>55</v>
      </c>
      <c r="H81" s="5">
        <v>1429869880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30048-525C-416B-84A3-5241982F2C2C}">
  <dimension ref="B63:U71"/>
  <sheetViews>
    <sheetView showGridLines="0" showRowColHeaders="0" zoomScaleNormal="100" workbookViewId="0">
      <selection activeCell="AA14" sqref="AA14"/>
    </sheetView>
  </sheetViews>
  <sheetFormatPr defaultRowHeight="13.8" x14ac:dyDescent="0.25"/>
  <sheetData>
    <row r="63" spans="2:21" ht="18" x14ac:dyDescent="0.35">
      <c r="R63" s="13" t="s">
        <v>57</v>
      </c>
      <c r="U63" s="9"/>
    </row>
    <row r="64" spans="2:21" ht="30.6" x14ac:dyDescent="0.55000000000000004">
      <c r="B64" s="10"/>
      <c r="C64" s="11" t="s">
        <v>62</v>
      </c>
      <c r="D64" s="10"/>
      <c r="E64" s="10"/>
      <c r="F64" s="10"/>
      <c r="G64" s="10"/>
      <c r="H64" s="10"/>
      <c r="I64" s="10"/>
    </row>
    <row r="65" spans="2:12" ht="30.6" x14ac:dyDescent="0.55000000000000004">
      <c r="B65" s="12" t="s">
        <v>58</v>
      </c>
      <c r="C65" s="12"/>
      <c r="D65" s="12"/>
      <c r="E65" s="12"/>
      <c r="F65" s="12"/>
      <c r="G65" s="12"/>
      <c r="H65" s="12"/>
      <c r="I65" s="12"/>
      <c r="J65" s="12"/>
      <c r="K65" s="12"/>
      <c r="L65" s="12"/>
    </row>
    <row r="66" spans="2:12" ht="30.6" x14ac:dyDescent="0.55000000000000004">
      <c r="B66" s="12" t="s">
        <v>59</v>
      </c>
      <c r="C66" s="12"/>
      <c r="D66" s="12"/>
      <c r="E66" s="12"/>
      <c r="F66" s="12"/>
      <c r="G66" s="12"/>
      <c r="H66" s="12"/>
      <c r="I66" s="12"/>
      <c r="J66" s="12"/>
      <c r="K66" s="12"/>
      <c r="L66" s="12"/>
    </row>
    <row r="67" spans="2:12" ht="30.6" x14ac:dyDescent="0.55000000000000004">
      <c r="B67" s="12" t="s">
        <v>60</v>
      </c>
      <c r="C67" s="12"/>
      <c r="D67" s="12"/>
      <c r="E67" s="12"/>
      <c r="F67" s="12"/>
      <c r="G67" s="12"/>
      <c r="H67" s="12"/>
      <c r="I67" s="12"/>
      <c r="J67" s="12"/>
      <c r="K67" s="12"/>
      <c r="L67" s="12"/>
    </row>
    <row r="68" spans="2:12" ht="30.6" x14ac:dyDescent="0.55000000000000004">
      <c r="B68" s="12" t="s">
        <v>61</v>
      </c>
      <c r="C68" s="12"/>
      <c r="D68" s="12"/>
      <c r="E68" s="12"/>
      <c r="F68" s="12"/>
      <c r="G68" s="12"/>
      <c r="H68" s="12"/>
      <c r="I68" s="12"/>
      <c r="J68" s="12"/>
      <c r="K68" s="12"/>
      <c r="L68" s="12"/>
    </row>
    <row r="71" spans="2:12" ht="25.2" x14ac:dyDescent="0.45">
      <c r="B71" s="10"/>
      <c r="C71" s="10"/>
      <c r="D71" s="10"/>
      <c r="E71" s="10"/>
      <c r="F71" s="10"/>
      <c r="G71" s="10"/>
      <c r="H71" s="10"/>
      <c r="I71"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7C20-6A5F-4D3D-AA7A-52F2776279CD}">
  <dimension ref="A1"/>
  <sheetViews>
    <sheetView workbookViewId="0"/>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 (2)</vt:lpstr>
      <vt:lpstr>raw</vt:lpstr>
      <vt:lpstr>cleaned</vt:lpstr>
      <vt:lpstr>pivot table</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RADHA PADOLE</cp:lastModifiedBy>
  <dcterms:created xsi:type="dcterms:W3CDTF">2026-07-06T03:42:24Z</dcterms:created>
  <dcterms:modified xsi:type="dcterms:W3CDTF">2026-07-10T15:14:52Z</dcterms:modified>
</cp:coreProperties>
</file>